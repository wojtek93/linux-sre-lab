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3538dc083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Lists" sheetId="1" r:id="R3ecfd5c143724593"/>
    <x:sheet xmlns:r="http://schemas.openxmlformats.org/officeDocument/2006/relationships" name="Linux" sheetId="2" r:id="R08c2407cef3f4878"/>
    <x:sheet xmlns:r="http://schemas.openxmlformats.org/officeDocument/2006/relationships" name="Bash" sheetId="3" r:id="Rd290cebdac1f4634"/>
    <x:sheet xmlns:r="http://schemas.openxmlformats.org/officeDocument/2006/relationships" name="Text Processing" sheetId="4" r:id="R6541161b514d4a64"/>
    <x:sheet xmlns:r="http://schemas.openxmlformats.org/officeDocument/2006/relationships" name="Docker" sheetId="5" r:id="Rca74b7da14824fa6"/>
    <x:sheet xmlns:r="http://schemas.openxmlformats.org/officeDocument/2006/relationships" name="Networking" sheetId="6" r:id="R3fec2eaaa5a2419f"/>
    <x:sheet xmlns:r="http://schemas.openxmlformats.org/officeDocument/2006/relationships" name="Kubernetes" sheetId="7" r:id="R2281879d52e9491e"/>
    <x:sheet xmlns:r="http://schemas.openxmlformats.org/officeDocument/2006/relationships" name="Prometheus" sheetId="8" r:id="R34a16368809641cc"/>
    <x:sheet xmlns:r="http://schemas.openxmlformats.org/officeDocument/2006/relationships" name="Grafana" sheetId="9" r:id="Rf136499544934be8"/>
    <x:sheet xmlns:r="http://schemas.openxmlformats.org/officeDocument/2006/relationships" name="SRE" sheetId="10" r:id="R6fa50119ca014c2f"/>
    <x:sheet xmlns:r="http://schemas.openxmlformats.org/officeDocument/2006/relationships" name="Python Automation" sheetId="11" r:id="R1954a3e51127483d"/>
    <x:sheet xmlns:r="http://schemas.openxmlformats.org/officeDocument/2006/relationships" name="Terraform" sheetId="12" r:id="R8b505ca311fe4d83"/>
    <x:sheet xmlns:r="http://schemas.openxmlformats.org/officeDocument/2006/relationships" name="CI-CD" sheetId="13" r:id="Rbe21528b509a4cd1"/>
    <x:sheet xmlns:r="http://schemas.openxmlformats.org/officeDocument/2006/relationships" name="Dashboard" sheetId="14" r:id="Rc2cb4d253a9a4b08"/>
    <x:sheet xmlns:r="http://schemas.openxmlformats.org/officeDocument/2006/relationships" name="Weekly Planner" sheetId="15" r:id="R369875ba3db6449d"/>
    <x:sheet xmlns:r="http://schemas.openxmlformats.org/officeDocument/2006/relationships" name="Job Tracker" sheetId="16" r:id="Rc94857be575f43e6"/>
    <x:sheet xmlns:r="http://schemas.openxmlformats.org/officeDocument/2006/relationships" name="Interview Tracker" sheetId="17" r:id="R2af1e7c261e8451d"/>
    <x:sheet xmlns:r="http://schemas.openxmlformats.org/officeDocument/2006/relationships" name="GitHub Portfolio" sheetId="18" r:id="Rc389e0dbac6c454d"/>
    <x:sheet xmlns:r="http://schemas.openxmlformats.org/officeDocument/2006/relationships" name="90 Day Scorecard" sheetId="19" r:id="Rf7903ff95d8e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1F8A8A"/>
      </x:patternFill>
    </x:fill>
  </x:fills>
  <x:borders count="24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/>
    <x:xf numFmtId="201" fontId="0" fillId="0" borderId="22" xfId="0" applyNumberFormat="1" applyFont="1" applyFill="1" applyBorder="1"/>
    <x:xf numFmtId="201" fontId="0" fillId="0" borderId="17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22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/>
    <x:xf numFmtId="200" fontId="0" fillId="0" borderId="22" xfId="0" applyNumberFormat="1" applyFont="1" applyFill="1" applyBorder="1"/>
    <x:xf numFmtId="200" fontId="0" fillId="0" borderId="17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13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11" xfId="0" applyNumberFormat="1" applyFont="1" applyFill="1" applyBorder="1" applyAlignment="1">
      <x:alignment horizontal="center" wrapText="1"/>
    </x:xf>
    <x:xf numFmtId="0" fontId="6" fillId="3" borderId="13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3"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  <x:color rgb="FF2E8B57"/>
      </x:font>
      <x:fill>
        <x:patternFill patternType="solid">
          <x:bgColor rgb="FFD9EAD3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1494f98e343c8" /><Relationship Type="http://schemas.openxmlformats.org/officeDocument/2006/relationships/theme" Target="/xl/theme/theme1.xml" Id="Rab4acf7f8577415d" /><Relationship Type="http://schemas.openxmlformats.org/officeDocument/2006/relationships/sharedStrings" Target="/xl/sharedStrings.xml" Id="R0d9429689bb64f71" /><Relationship Type="http://schemas.openxmlformats.org/officeDocument/2006/relationships/worksheet" Target="/xl/worksheets/sheet1.xml" Id="R3ecfd5c143724593" /><Relationship Type="http://schemas.openxmlformats.org/officeDocument/2006/relationships/worksheet" Target="/xl/worksheets/sheet2.xml" Id="R08c2407cef3f4878" /><Relationship Type="http://schemas.openxmlformats.org/officeDocument/2006/relationships/worksheet" Target="/xl/worksheets/sheet3.xml" Id="Rd290cebdac1f4634" /><Relationship Type="http://schemas.openxmlformats.org/officeDocument/2006/relationships/worksheet" Target="/xl/worksheets/sheet4.xml" Id="R6541161b514d4a64" /><Relationship Type="http://schemas.openxmlformats.org/officeDocument/2006/relationships/worksheet" Target="/xl/worksheets/sheet5.xml" Id="Rca74b7da14824fa6" /><Relationship Type="http://schemas.openxmlformats.org/officeDocument/2006/relationships/worksheet" Target="/xl/worksheets/sheet6.xml" Id="R3fec2eaaa5a2419f" /><Relationship Type="http://schemas.openxmlformats.org/officeDocument/2006/relationships/worksheet" Target="/xl/worksheets/sheet7.xml" Id="R2281879d52e9491e" /><Relationship Type="http://schemas.openxmlformats.org/officeDocument/2006/relationships/worksheet" Target="/xl/worksheets/sheet8.xml" Id="R34a16368809641cc" /><Relationship Type="http://schemas.openxmlformats.org/officeDocument/2006/relationships/worksheet" Target="/xl/worksheets/sheet9.xml" Id="Rf136499544934be8" /><Relationship Type="http://schemas.openxmlformats.org/officeDocument/2006/relationships/worksheet" Target="/xl/worksheets/sheet10.xml" Id="R6fa50119ca014c2f" /><Relationship Type="http://schemas.openxmlformats.org/officeDocument/2006/relationships/worksheet" Target="/xl/worksheets/sheet11.xml" Id="R1954a3e51127483d" /><Relationship Type="http://schemas.openxmlformats.org/officeDocument/2006/relationships/worksheet" Target="/xl/worksheets/sheet12.xml" Id="R8b505ca311fe4d83" /><Relationship Type="http://schemas.openxmlformats.org/officeDocument/2006/relationships/worksheet" Target="/xl/worksheets/sheet13.xml" Id="Rbe21528b509a4cd1" /><Relationship Type="http://schemas.openxmlformats.org/officeDocument/2006/relationships/worksheet" Target="/xl/worksheets/sheet14.xml" Id="Rc2cb4d253a9a4b08" /><Relationship Type="http://schemas.openxmlformats.org/officeDocument/2006/relationships/worksheet" Target="/xl/worksheets/sheet15.xml" Id="R369875ba3db6449d" /><Relationship Type="http://schemas.openxmlformats.org/officeDocument/2006/relationships/worksheet" Target="/xl/worksheets/sheet16.xml" Id="Rc94857be575f43e6" /><Relationship Type="http://schemas.openxmlformats.org/officeDocument/2006/relationships/worksheet" Target="/xl/worksheets/sheet17.xml" Id="R2af1e7c261e8451d" /><Relationship Type="http://schemas.openxmlformats.org/officeDocument/2006/relationships/worksheet" Target="/xl/worksheets/sheet18.xml" Id="Rc389e0dbac6c454d" /><Relationship Type="http://schemas.openxmlformats.org/officeDocument/2006/relationships/worksheet" Target="/xl/worksheets/sheet19.xml" Id="Rf7903ff95d8e4a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db9823bfa84c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Completed Tasks by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Tasks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'Dashboard'!$C$12:$C$23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db9823bfa84c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inux" displayName="T_Linux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2.xml><?xml version="1.0" encoding="utf-8"?>
<x:table xmlns:x="http://schemas.openxmlformats.org/spreadsheetml/2006/main" id="2" name="T_Bash" displayName="T_Bash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3.xml><?xml version="1.0" encoding="utf-8"?>
<x:table xmlns:x="http://schemas.openxmlformats.org/spreadsheetml/2006/main" id="3" name="T_Text_Processing" displayName="T_Text_Processing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T_Docker" displayName="T_Docker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5.xml><?xml version="1.0" encoding="utf-8"?>
<x:table xmlns:x="http://schemas.openxmlformats.org/spreadsheetml/2006/main" id="5" name="T_Networking" displayName="T_Networking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6.xml><?xml version="1.0" encoding="utf-8"?>
<x:table xmlns:x="http://schemas.openxmlformats.org/spreadsheetml/2006/main" id="6" name="T_Kubernetes" displayName="T_Kubernetes" ref="A4:M28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7.xml><?xml version="1.0" encoding="utf-8"?>
<x:table xmlns:x="http://schemas.openxmlformats.org/spreadsheetml/2006/main" id="7" name="T_Prometheus" displayName="T_Prometheus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8.xml><?xml version="1.0" encoding="utf-8"?>
<x:table xmlns:x="http://schemas.openxmlformats.org/spreadsheetml/2006/main" id="8" name="T_Grafana" displayName="T_Grafana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9.xml><?xml version="1.0" encoding="utf-8"?>
<x:table xmlns:x="http://schemas.openxmlformats.org/spreadsheetml/2006/main" id="9" name="T_SRE" displayName="T_SRE" ref="A4:M3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10.xml><?xml version="1.0" encoding="utf-8"?>
<x:table xmlns:x="http://schemas.openxmlformats.org/spreadsheetml/2006/main" id="10" name="T_Python_Automation" displayName="T_Python_Automation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11.xml><?xml version="1.0" encoding="utf-8"?>
<x:table xmlns:x="http://schemas.openxmlformats.org/spreadsheetml/2006/main" id="11" name="T_Terraform" displayName="T_Terraform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12.xml><?xml version="1.0" encoding="utf-8"?>
<x:table xmlns:x="http://schemas.openxmlformats.org/spreadsheetml/2006/main" id="12" name="T_CI_CD" displayName="T_CI_CD" ref="A4:M24" headerRowCount="1">
  <x:tableColumns count="13">
    <x:tableColumn id="1" name="ID"/>
    <x:tableColumn id="2" name="Status"/>
    <x:tableColumn id="3" name="Difficulty"/>
    <x:tableColumn id="4" name="Priority"/>
    <x:tableColumn id="5" name="Topic"/>
    <x:tableColumn id="6" name="Concrete Task"/>
    <x:tableColumn id="7" name="Expected GitHub Artifact"/>
    <x:tableColumn id="8" name="Suggested Repo"/>
    <x:tableColumn id="9" name="Estimated Time"/>
    <x:tableColumn id="10" name="GitHub URL"/>
    <x:tableColumn id="11" name="Started"/>
    <x:tableColumn id="12" name="Completed"/>
    <x:tableColumn id="13" name="Notes / Review"/>
  </x:tableColumns>
  <x:tableStyleInfo name="TableStyleMedium2" showRowStripes="1"/>
</x:table>
</file>

<file path=xl/tables/table13.xml><?xml version="1.0" encoding="utf-8"?>
<x:table xmlns:x="http://schemas.openxmlformats.org/spreadsheetml/2006/main" id="13" name="ApplicationsTable" displayName="ApplicationsTable" ref="A3:N203" headerRowCount="1">
  <x:tableColumns count="14">
    <x:tableColumn id="1" name="ID"/>
    <x:tableColumn id="2" name="Company"/>
    <x:tableColumn id="3" name="Role"/>
    <x:tableColumn id="4" name="Location / Remote"/>
    <x:tableColumn id="5" name="Job URL"/>
    <x:tableColumn id="6" name="Applied Date"/>
    <x:tableColumn id="7" name="Status"/>
    <x:tableColumn id="8" name="Match %"/>
    <x:tableColumn id="9" name="CV Version"/>
    <x:tableColumn id="10" name="Contact"/>
    <x:tableColumn id="11" name="Next Action"/>
    <x:tableColumn id="12" name="Next Action Date"/>
    <x:tableColumn id="13" name="Feedback / Notes"/>
    <x:tableColumn id="14" name="Priority"/>
  </x:tableColumns>
  <x:tableStyleInfo name="TableStyleMedium2" showRowStripes="1"/>
</x:table>
</file>

<file path=xl/tables/table14.xml><?xml version="1.0" encoding="utf-8"?>
<x:table xmlns:x="http://schemas.openxmlformats.org/spreadsheetml/2006/main" id="14" name="InterviewsTable" displayName="InterviewsTable" ref="A3:M203" headerRowCount="1">
  <x:tableColumns count="13">
    <x:tableColumn id="1" name="Date"/>
    <x:tableColumn id="2" name="Company"/>
    <x:tableColumn id="3" name="Role"/>
    <x:tableColumn id="4" name="Stage"/>
    <x:tableColumn id="5" name="Question / Task"/>
    <x:tableColumn id="6" name="My Answer"/>
    <x:tableColumn id="7" name="Result"/>
    <x:tableColumn id="8" name="Confidence 1-5"/>
    <x:tableColumn id="9" name="What Went Well"/>
    <x:tableColumn id="10" name="What to Improve"/>
    <x:tableColumn id="11" name="New Tracker Task"/>
    <x:tableColumn id="12" name="Follow-up Dat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a839c7e4e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988db6ff4344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a7e77760604c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7c327e39cb4c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656180d0d940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00e0962c7a4b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38ac751a4643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ac519cf99644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19934c78424b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342d4bd83c944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94c9fa0bd5e4e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4a2542fb96a4ee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c159e4666258455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f2d7e762c628414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059da9b074e2453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Difficulty</x:v>
      </x:c>
      <x:c r="C1" t="str">
        <x:v>Priority</x:v>
      </x:c>
      <x:c r="D1" t="str">
        <x:v>Application Status</x:v>
      </x:c>
      <x:c r="E1" t="str">
        <x:v>Interview Result</x:v>
      </x:c>
    </x:row>
    <x:row r="2">
      <x:c r="A2" t="str">
        <x:v>Not Started</x:v>
      </x:c>
      <x:c r="B2" t="str">
        <x:v>Easy</x:v>
      </x:c>
      <x:c r="C2" t="str">
        <x:v>Must Know</x:v>
      </x:c>
      <x:c r="D2" t="str">
        <x:v>To Apply</x:v>
      </x:c>
      <x:c r="E2" t="str">
        <x:v>Pending</x:v>
      </x:c>
    </x:row>
    <x:row r="3">
      <x:c r="A3" t="str">
        <x:v>In Progress</x:v>
      </x:c>
      <x:c r="B3" t="str">
        <x:v>Medium</x:v>
      </x:c>
      <x:c r="C3" t="str">
        <x:v>Core</x:v>
      </x:c>
      <x:c r="D3" t="str">
        <x:v>Applied</x:v>
      </x:c>
      <x:c r="E3" t="str">
        <x:v>Passed</x:v>
      </x:c>
    </x:row>
    <x:row r="4">
      <x:c r="A4" t="str">
        <x:v>Blocked</x:v>
      </x:c>
      <x:c r="B4" t="str">
        <x:v>Hard</x:v>
      </x:c>
      <x:c r="C4" t="str">
        <x:v>SRE</x:v>
      </x:c>
      <x:c r="D4" t="str">
        <x:v>HR Screen</x:v>
      </x:c>
      <x:c r="E4" t="str">
        <x:v>Rejected</x:v>
      </x:c>
    </x:row>
    <x:row r="5">
      <x:c r="A5" t="str">
        <x:v>Done</x:v>
      </x:c>
      <x:c r="B5" t="str">
        <x:v>Interview</x:v>
      </x:c>
      <x:c r="C5" t="str">
        <x:v>Portfolio</x:v>
      </x:c>
      <x:c r="D5" t="str">
        <x:v>Technical</x:v>
      </x:c>
      <x:c r="E5" t="str">
        <x:v>Withdrawn</x:v>
      </x:c>
    </x:row>
    <x:row r="6">
      <x:c r="C6" t="str">
        <x:v>Security</x:v>
      </x:c>
      <x:c r="D6" t="str">
        <x:v>Final</x:v>
      </x:c>
    </x:row>
    <x:row r="7">
      <x:c r="D7" t="str">
        <x:v>Offer</x:v>
      </x:c>
    </x:row>
    <x:row r="8">
      <x:c r="D8" t="str">
        <x:v>Rejected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Linux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LIN-01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Filesystem</x:v>
      </x:c>
      <x:c r="F5" s="61" t="str">
        <x:v>Map the Linux filesystem hierarchy and explain the purpose of /etc, /var, /proc, /sys, /tmp and /home.</x:v>
      </x:c>
      <x:c r="G5" s="61" t="str">
        <x:v>Create docs/linux-filesystem.md with examples from your machine.</x:v>
      </x:c>
      <x:c r="H5" s="61" t="str">
        <x:v>linux-sre-labs</x:v>
      </x:c>
      <x:c r="I5" s="61" t="str">
        <x:v>45 min</x:v>
      </x:c>
      <x:c r="J5" s="61" t="str"/>
      <x:c r="K5" s="95"/>
      <x:c r="L5" s="95"/>
      <x:c r="M5" s="62" t="str"/>
    </x:row>
    <x:row r="6">
      <x:c r="A6" s="63" t="str">
        <x:v>LIN-02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Files</x:v>
      </x:c>
      <x:c r="F6" s="64" t="str">
        <x:v>Find files larger than 100 MB modified in the last 7 days.</x:v>
      </x:c>
      <x:c r="G6" s="64" t="str">
        <x:v>Save command and explanation in find-large-files.md.</x:v>
      </x:c>
      <x:c r="H6" s="64" t="str">
        <x:v>linux-sre-labs</x:v>
      </x:c>
      <x:c r="I6" s="64" t="str">
        <x:v>30 min</x:v>
      </x:c>
      <x:c r="J6" s="64" t="str"/>
      <x:c r="K6" s="96"/>
      <x:c r="L6" s="96"/>
      <x:c r="M6" s="65" t="str"/>
    </x:row>
    <x:row r="7">
      <x:c r="A7" s="63" t="str">
        <x:v>LIN-03</x:v>
      </x:c>
      <x:c r="B7" s="64" t="str">
        <x:v>Not Started</x:v>
      </x:c>
      <x:c r="C7" s="64" t="str">
        <x:v>Medium</x:v>
      </x:c>
      <x:c r="D7" s="64" t="str">
        <x:v>Must Know</x:v>
      </x:c>
      <x:c r="E7" s="64" t="str">
        <x:v>Permissions</x:v>
      </x:c>
      <x:c r="F7" s="64" t="str">
        <x:v>Create a shared directory for a team using chmod, chown, chgrp and the setgid bit.</x:v>
      </x:c>
      <x:c r="G7" s="64" t="str">
        <x:v>Add setup script and verification commands.</x:v>
      </x:c>
      <x:c r="H7" s="64" t="str">
        <x:v>linux-sre-labs</x:v>
      </x:c>
      <x:c r="I7" s="64" t="str">
        <x:v>60 min</x:v>
      </x:c>
      <x:c r="J7" s="64" t="str"/>
      <x:c r="K7" s="96"/>
      <x:c r="L7" s="96"/>
      <x:c r="M7" s="65" t="str"/>
    </x:row>
    <x:row r="8">
      <x:c r="A8" s="63" t="str">
        <x:v>LIN-04</x:v>
      </x:c>
      <x:c r="B8" s="64" t="str">
        <x:v>Not Started</x:v>
      </x:c>
      <x:c r="C8" s="64" t="str">
        <x:v>Medium</x:v>
      </x:c>
      <x:c r="D8" s="64" t="str">
        <x:v>Core</x:v>
      </x:c>
      <x:c r="E8" s="64" t="str">
        <x:v>Links</x:v>
      </x:c>
      <x:c r="F8" s="64" t="str">
        <x:v>Build a lab comparing hard links and symbolic links, including behavior after deleting the original file.</x:v>
      </x:c>
      <x:c r="G8" s="64" t="str">
        <x:v>Write a short experiment report.</x:v>
      </x:c>
      <x:c r="H8" s="64" t="str">
        <x:v>linux-sre-labs</x:v>
      </x:c>
      <x:c r="I8" s="64" t="str">
        <x:v>45 min</x:v>
      </x:c>
      <x:c r="J8" s="64" t="str"/>
      <x:c r="K8" s="96"/>
      <x:c r="L8" s="96"/>
      <x:c r="M8" s="65" t="str"/>
    </x:row>
    <x:row r="9">
      <x:c r="A9" s="63" t="str">
        <x:v>LIN-05</x:v>
      </x:c>
      <x:c r="B9" s="64" t="str">
        <x:v>Not Started</x:v>
      </x:c>
      <x:c r="C9" s="64" t="str">
        <x:v>Easy</x:v>
      </x:c>
      <x:c r="D9" s="64" t="str">
        <x:v>Must Know</x:v>
      </x:c>
      <x:c r="E9" s="64" t="str">
        <x:v>Processes</x:v>
      </x:c>
      <x:c r="F9" s="64" t="str">
        <x:v>Create process_report.sh that lists top CPU and memory consumers.</x:v>
      </x:c>
      <x:c r="G9" s="64" t="str">
        <x:v>Script + sample output + README.</x:v>
      </x:c>
      <x:c r="H9" s="64" t="str">
        <x:v>linux-automation-toolkit</x:v>
      </x:c>
      <x:c r="I9" s="64" t="str">
        <x:v>60 min</x:v>
      </x:c>
      <x:c r="J9" s="64" t="str"/>
      <x:c r="K9" s="96"/>
      <x:c r="L9" s="96"/>
      <x:c r="M9" s="65" t="str"/>
    </x:row>
    <x:row r="10">
      <x:c r="A10" s="63" t="str">
        <x:v>LIN-06</x:v>
      </x:c>
      <x:c r="B10" s="64" t="str">
        <x:v>Not Started</x:v>
      </x:c>
      <x:c r="C10" s="64" t="str">
        <x:v>Medium</x:v>
      </x:c>
      <x:c r="D10" s="64" t="str">
        <x:v>Must Know</x:v>
      </x:c>
      <x:c r="E10" s="64" t="str">
        <x:v>Signals</x:v>
      </x:c>
      <x:c r="F10" s="64" t="str">
        <x:v>Write a script that handles SIGINT, SIGTERM and EXIT using trap.</x:v>
      </x:c>
      <x:c r="G10" s="64" t="str">
        <x:v>signal_demo.sh with explanation.</x:v>
      </x:c>
      <x:c r="H10" s="64" t="str">
        <x:v>linux-automation-toolkit</x:v>
      </x:c>
      <x:c r="I10" s="64" t="str">
        <x:v>60 min</x:v>
      </x:c>
      <x:c r="J10" s="64" t="str"/>
      <x:c r="K10" s="96"/>
      <x:c r="L10" s="96"/>
      <x:c r="M10" s="65" t="str"/>
    </x:row>
    <x:row r="11">
      <x:c r="A11" s="63" t="str">
        <x:v>LIN-07</x:v>
      </x:c>
      <x:c r="B11" s="64" t="str">
        <x:v>Not Started</x:v>
      </x:c>
      <x:c r="C11" s="64" t="str">
        <x:v>Hard</x:v>
      </x:c>
      <x:c r="D11" s="64" t="str">
        <x:v>Must Know</x:v>
      </x:c>
      <x:c r="E11" s="64" t="str">
        <x:v>systemd</x:v>
      </x:c>
      <x:c r="F11" s="64" t="str">
        <x:v>Create and manage a custom systemd service for a small script.</x:v>
      </x:c>
      <x:c r="G11" s="64" t="str">
        <x:v>Unit file, install instructions and troubleshooting section.</x:v>
      </x:c>
      <x:c r="H11" s="64" t="str">
        <x:v>linux-sre-labs</x:v>
      </x:c>
      <x:c r="I11" s="64" t="str">
        <x:v>90 min</x:v>
      </x:c>
      <x:c r="J11" s="64" t="str"/>
      <x:c r="K11" s="96"/>
      <x:c r="L11" s="96"/>
      <x:c r="M11" s="65" t="str"/>
    </x:row>
    <x:row r="12">
      <x:c r="A12" s="63" t="str">
        <x:v>LIN-08</x:v>
      </x:c>
      <x:c r="B12" s="64" t="str">
        <x:v>Not Started</x:v>
      </x:c>
      <x:c r="C12" s="64" t="str">
        <x:v>Medium</x:v>
      </x:c>
      <x:c r="D12" s="64" t="str">
        <x:v>Must Know</x:v>
      </x:c>
      <x:c r="E12" s="64" t="str">
        <x:v>Logs</x:v>
      </x:c>
      <x:c r="F12" s="64" t="str">
        <x:v>Use journalctl to filter logs by service, priority and time window.</x:v>
      </x:c>
      <x:c r="G12" s="64" t="str">
        <x:v>Create journalctl-cheatsheet.md with working examples.</x:v>
      </x:c>
      <x:c r="H12" s="64" t="str">
        <x:v>linux-sre-labs</x:v>
      </x:c>
      <x:c r="I12" s="64" t="str">
        <x:v>60 min</x:v>
      </x:c>
      <x:c r="J12" s="64" t="str"/>
      <x:c r="K12" s="96"/>
      <x:c r="L12" s="96"/>
      <x:c r="M12" s="65" t="str"/>
    </x:row>
    <x:row r="13">
      <x:c r="A13" s="63" t="str">
        <x:v>LIN-09</x:v>
      </x:c>
      <x:c r="B13" s="64" t="str">
        <x:v>Not Started</x:v>
      </x:c>
      <x:c r="C13" s="64" t="str">
        <x:v>Medium</x:v>
      </x:c>
      <x:c r="D13" s="64" t="str">
        <x:v>Must Know</x:v>
      </x:c>
      <x:c r="E13" s="64" t="str">
        <x:v>Disk</x:v>
      </x:c>
      <x:c r="F13" s="64" t="str">
        <x:v>Create disk_report.sh that shows filesystem usage and top 10 largest directories.</x:v>
      </x:c>
      <x:c r="G13" s="64" t="str">
        <x:v>Script, sample report and cron example.</x:v>
      </x:c>
      <x:c r="H13" s="64" t="str">
        <x:v>linux-automation-toolkit</x:v>
      </x:c>
      <x:c r="I13" s="64" t="str">
        <x:v>90 min</x:v>
      </x:c>
      <x:c r="J13" s="64" t="str"/>
      <x:c r="K13" s="96"/>
      <x:c r="L13" s="96"/>
      <x:c r="M13" s="65" t="str"/>
    </x:row>
    <x:row r="14">
      <x:c r="A14" s="63" t="str">
        <x:v>LIN-10</x:v>
      </x:c>
      <x:c r="B14" s="64" t="str">
        <x:v>Not Started</x:v>
      </x:c>
      <x:c r="C14" s="64" t="str">
        <x:v>Medium</x:v>
      </x:c>
      <x:c r="D14" s="64" t="str">
        <x:v>Core</x:v>
      </x:c>
      <x:c r="E14" s="64" t="str">
        <x:v>Memory</x:v>
      </x:c>
      <x:c r="F14" s="64" t="str">
        <x:v>Investigate memory usage using free, vmstat, ps and /proc/meminfo.</x:v>
      </x:c>
      <x:c r="G14" s="64" t="str">
        <x:v>Write a troubleshooting walkthrough.</x:v>
      </x:c>
      <x:c r="H14" s="64" t="str">
        <x:v>linux-sre-labs</x:v>
      </x:c>
      <x:c r="I14" s="64" t="str">
        <x:v>60 min</x:v>
      </x:c>
      <x:c r="J14" s="64" t="str"/>
      <x:c r="K14" s="96"/>
      <x:c r="L14" s="96"/>
      <x:c r="M14" s="65" t="str"/>
    </x:row>
    <x:row r="15">
      <x:c r="A15" s="63" t="str">
        <x:v>LIN-11</x:v>
      </x:c>
      <x:c r="B15" s="64" t="str">
        <x:v>Not Started</x:v>
      </x:c>
      <x:c r="C15" s="64" t="str">
        <x:v>Medium</x:v>
      </x:c>
      <x:c r="D15" s="64" t="str">
        <x:v>Must Know</x:v>
      </x:c>
      <x:c r="E15" s="64" t="str">
        <x:v>CPU</x:v>
      </x:c>
      <x:c r="F15" s="64" t="str">
        <x:v>Simulate high CPU and identify the responsible process with top, ps and pidstat.</x:v>
      </x:c>
      <x:c r="G15" s="64" t="str">
        <x:v>Add incident notes and commands.</x:v>
      </x:c>
      <x:c r="H15" s="64" t="str">
        <x:v>linux-sre-labs</x:v>
      </x:c>
      <x:c r="I15" s="64" t="str">
        <x:v>60 min</x:v>
      </x:c>
      <x:c r="J15" s="64" t="str"/>
      <x:c r="K15" s="96"/>
      <x:c r="L15" s="96"/>
      <x:c r="M15" s="65" t="str"/>
    </x:row>
    <x:row r="16">
      <x:c r="A16" s="63" t="str">
        <x:v>LIN-12</x:v>
      </x:c>
      <x:c r="B16" s="64" t="str">
        <x:v>Not Started</x:v>
      </x:c>
      <x:c r="C16" s="64" t="str">
        <x:v>Hard</x:v>
      </x:c>
      <x:c r="D16" s="64" t="str">
        <x:v>Core</x:v>
      </x:c>
      <x:c r="E16" s="64" t="str">
        <x:v>I/O</x:v>
      </x:c>
      <x:c r="F16" s="64" t="str">
        <x:v>Use iostat and lsof to investigate disk I/O and open files.</x:v>
      </x:c>
      <x:c r="G16" s="64" t="str">
        <x:v>Create disk-io-investigation.md.</x:v>
      </x:c>
      <x:c r="H16" s="64" t="str">
        <x:v>linux-sre-labs</x:v>
      </x:c>
      <x:c r="I16" s="64" t="str">
        <x:v>75 min</x:v>
      </x:c>
      <x:c r="J16" s="64" t="str"/>
      <x:c r="K16" s="96"/>
      <x:c r="L16" s="96"/>
      <x:c r="M16" s="65" t="str"/>
    </x:row>
    <x:row r="17">
      <x:c r="A17" s="63" t="str">
        <x:v>LIN-13</x:v>
      </x:c>
      <x:c r="B17" s="64" t="str">
        <x:v>Not Started</x:v>
      </x:c>
      <x:c r="C17" s="64" t="str">
        <x:v>Hard</x:v>
      </x:c>
      <x:c r="D17" s="64" t="str">
        <x:v>Core</x:v>
      </x:c>
      <x:c r="E17" s="64" t="str">
        <x:v>Storage</x:v>
      </x:c>
      <x:c r="F17" s="64" t="str">
        <x:v>Create, mount and verify a loopback filesystem.</x:v>
      </x:c>
      <x:c r="G17" s="64" t="str">
        <x:v>Shell script + cleanup instructions.</x:v>
      </x:c>
      <x:c r="H17" s="64" t="str">
        <x:v>linux-sre-labs</x:v>
      </x:c>
      <x:c r="I17" s="64" t="str">
        <x:v>90 min</x:v>
      </x:c>
      <x:c r="J17" s="64" t="str"/>
      <x:c r="K17" s="96"/>
      <x:c r="L17" s="96"/>
      <x:c r="M17" s="65" t="str"/>
    </x:row>
    <x:row r="18">
      <x:c r="A18" s="63" t="str">
        <x:v>LIN-14</x:v>
      </x:c>
      <x:c r="B18" s="64" t="str">
        <x:v>Not Started</x:v>
      </x:c>
      <x:c r="C18" s="64" t="str">
        <x:v>Medium</x:v>
      </x:c>
      <x:c r="D18" s="64" t="str">
        <x:v>Core</x:v>
      </x:c>
      <x:c r="E18" s="64" t="str">
        <x:v>Cron</x:v>
      </x:c>
      <x:c r="F18" s="64" t="str">
        <x:v>Schedule a health report with cron and log success/failure.</x:v>
      </x:c>
      <x:c r="G18" s="64" t="str">
        <x:v>Cron entry, script and log rotation notes.</x:v>
      </x:c>
      <x:c r="H18" s="64" t="str">
        <x:v>linux-automation-toolkit</x:v>
      </x:c>
      <x:c r="I18" s="64" t="str">
        <x:v>60 min</x:v>
      </x:c>
      <x:c r="J18" s="64" t="str"/>
      <x:c r="K18" s="96"/>
      <x:c r="L18" s="96"/>
      <x:c r="M18" s="65" t="str"/>
    </x:row>
    <x:row r="19">
      <x:c r="A19" s="63" t="str">
        <x:v>LIN-15</x:v>
      </x:c>
      <x:c r="B19" s="64" t="str">
        <x:v>Not Started</x:v>
      </x:c>
      <x:c r="C19" s="64" t="str">
        <x:v>Medium</x:v>
      </x:c>
      <x:c r="D19" s="64" t="str">
        <x:v>Must Know</x:v>
      </x:c>
      <x:c r="E19" s="64" t="str">
        <x:v>SSH</x:v>
      </x:c>
      <x:c r="F19" s="64" t="str">
        <x:v>Configure SSH key authentication in a local lab and disable password login in a safe test environment.</x:v>
      </x:c>
      <x:c r="G19" s="64" t="str">
        <x:v>Document secure SSH configuration.</x:v>
      </x:c>
      <x:c r="H19" s="64" t="str">
        <x:v>linux-sre-labs</x:v>
      </x:c>
      <x:c r="I19" s="64" t="str">
        <x:v>75 min</x:v>
      </x:c>
      <x:c r="J19" s="64" t="str"/>
      <x:c r="K19" s="96"/>
      <x:c r="L19" s="96"/>
      <x:c r="M19" s="65" t="str"/>
    </x:row>
    <x:row r="20">
      <x:c r="A20" s="63" t="str">
        <x:v>LIN-16</x:v>
      </x:c>
      <x:c r="B20" s="64" t="str">
        <x:v>Not Started</x:v>
      </x:c>
      <x:c r="C20" s="64" t="str">
        <x:v>Easy</x:v>
      </x:c>
      <x:c r="D20" s="64" t="str">
        <x:v>Core</x:v>
      </x:c>
      <x:c r="E20" s="64" t="str">
        <x:v>Packages</x:v>
      </x:c>
      <x:c r="F20" s="64" t="str">
        <x:v>Install, verify, update and remove packages using apt or dnf; inspect package ownership of files.</x:v>
      </x:c>
      <x:c r="G20" s="64" t="str">
        <x:v>Create package-management.md.</x:v>
      </x:c>
      <x:c r="H20" s="64" t="str">
        <x:v>linux-sre-labs</x:v>
      </x:c>
      <x:c r="I20" s="64" t="str">
        <x:v>45 min</x:v>
      </x:c>
      <x:c r="J20" s="64" t="str"/>
      <x:c r="K20" s="96"/>
      <x:c r="L20" s="96"/>
      <x:c r="M20" s="65" t="str"/>
    </x:row>
    <x:row r="21">
      <x:c r="A21" s="63" t="str">
        <x:v>LIN-17</x:v>
      </x:c>
      <x:c r="B21" s="64" t="str">
        <x:v>Not Started</x:v>
      </x:c>
      <x:c r="C21" s="64" t="str">
        <x:v>Medium</x:v>
      </x:c>
      <x:c r="D21" s="64" t="str">
        <x:v>Must Know</x:v>
      </x:c>
      <x:c r="E21" s="64" t="str">
        <x:v>Networking</x:v>
      </x:c>
      <x:c r="F21" s="64" t="str">
        <x:v>Use ss, lsof and curl to identify which process listens on a port and test it locally.</x:v>
      </x:c>
      <x:c r="G21" s="64" t="str">
        <x:v>Create port-debugging.md.</x:v>
      </x:c>
      <x:c r="H21" s="64" t="str">
        <x:v>linux-sre-labs</x:v>
      </x:c>
      <x:c r="I21" s="64" t="str">
        <x:v>45 min</x:v>
      </x:c>
      <x:c r="J21" s="64" t="str"/>
      <x:c r="K21" s="96"/>
      <x:c r="L21" s="96"/>
      <x:c r="M21" s="65" t="str"/>
    </x:row>
    <x:row r="22">
      <x:c r="A22" s="63" t="str">
        <x:v>LIN-18</x:v>
      </x:c>
      <x:c r="B22" s="64" t="str">
        <x:v>Not Started</x:v>
      </x:c>
      <x:c r="C22" s="64" t="str">
        <x:v>Medium</x:v>
      </x:c>
      <x:c r="D22" s="64" t="str">
        <x:v>Core</x:v>
      </x:c>
      <x:c r="E22" s="64" t="str">
        <x:v>Archive</x:v>
      </x:c>
      <x:c r="F22" s="64" t="str">
        <x:v>Create a backup using tar and gzip, verify integrity and restore it.</x:v>
      </x:c>
      <x:c r="G22" s="64" t="str">
        <x:v>backup-and-restore.sh + README.</x:v>
      </x:c>
      <x:c r="H22" s="64" t="str">
        <x:v>linux-automation-toolkit</x:v>
      </x:c>
      <x:c r="I22" s="64" t="str">
        <x:v>60 min</x:v>
      </x:c>
      <x:c r="J22" s="64" t="str"/>
      <x:c r="K22" s="96"/>
      <x:c r="L22" s="96"/>
      <x:c r="M22" s="65" t="str"/>
    </x:row>
    <x:row r="23">
      <x:c r="A23" s="63" t="str">
        <x:v>LIN-19</x:v>
      </x:c>
      <x:c r="B23" s="64" t="str">
        <x:v>Not Started</x:v>
      </x:c>
      <x:c r="C23" s="64" t="str">
        <x:v>Hard</x:v>
      </x:c>
      <x:c r="D23" s="64" t="str">
        <x:v>Interview</x:v>
      </x:c>
      <x:c r="E23" s="64" t="str">
        <x:v>strace</x:v>
      </x:c>
      <x:c r="F23" s="64" t="str">
        <x:v>Use strace to diagnose a command failing because a file is missing or permission is denied.</x:v>
      </x:c>
      <x:c r="G23" s="64" t="str">
        <x:v>Write a short RCA.</x:v>
      </x:c>
      <x:c r="H23" s="64" t="str">
        <x:v>linux-sre-labs</x:v>
      </x:c>
      <x:c r="I23" s="64" t="str">
        <x:v>75 min</x:v>
      </x:c>
      <x:c r="J23" s="64" t="str"/>
      <x:c r="K23" s="96"/>
      <x:c r="L23" s="96"/>
      <x:c r="M23" s="65" t="str"/>
    </x:row>
    <x:row r="24">
      <x:c r="A24" s="66" t="str">
        <x:v>LIN-20</x:v>
      </x:c>
      <x:c r="B24" s="67" t="str">
        <x:v>Not Started</x:v>
      </x:c>
      <x:c r="C24" s="67" t="str">
        <x:v>Hard</x:v>
      </x:c>
      <x:c r="D24" s="67" t="str">
        <x:v>Must Know</x:v>
      </x:c>
      <x:c r="E24" s="67" t="str">
        <x:v>Troubleshooting</x:v>
      </x:c>
      <x:c r="F24" s="67" t="str">
        <x:v>Diagnose a service that fails to start due to an invalid configuration file.</x:v>
      </x:c>
      <x:c r="G24" s="67" t="str">
        <x:v>Runbook with symptoms, checks, fix and prevention.</x:v>
      </x:c>
      <x:c r="H24" s="67" t="str">
        <x:v>sre-runbooks</x:v>
      </x:c>
      <x:c r="I24" s="67" t="str">
        <x:v>90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0" priority="1">
      <x:formula>B5="Done"</x:formula>
    </x:cfRule>
    <x:cfRule type="expression" dxfId="1" priority="2">
      <x:formula>B5="In Progress"</x:formula>
    </x:cfRule>
    <x:cfRule type="expression" dxfId="2" priority="3">
      <x:formula>B5="Blocked"</x:formula>
    </x:cfRule>
  </x:conditionalFormatting>
  <x:conditionalFormatting sqref="C5:C24">
    <x:cfRule type="expression" dxfId="3" priority="4">
      <x:formula>C5="Hard"</x:formula>
    </x:cfRule>
    <x:cfRule type="expression" dxfId="4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4a839c7e4e4b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Bash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BAS-01</x:v>
      </x:c>
      <x:c r="B5" s="61" t="str">
        <x:v>Not Started</x:v>
      </x:c>
      <x:c r="C5" s="61" t="str">
        <x:v>Easy</x:v>
      </x:c>
      <x:c r="D5" s="61" t="str">
        <x:v>Core</x:v>
      </x:c>
      <x:c r="E5" s="61" t="str">
        <x:v>Basics</x:v>
      </x:c>
      <x:c r="F5" s="61" t="str">
        <x:v>Write hello_env.sh that prints selected environment variables safely.</x:v>
      </x:c>
      <x:c r="G5" s="61" t="str">
        <x:v>Script + ShellCheck-clean output.</x:v>
      </x:c>
      <x:c r="H5" s="61" t="str">
        <x:v>bash-scripting-challenges</x:v>
      </x:c>
      <x:c r="I5" s="61" t="str">
        <x:v>30 min</x:v>
      </x:c>
      <x:c r="J5" s="61" t="str"/>
      <x:c r="K5" s="95"/>
      <x:c r="L5" s="95"/>
      <x:c r="M5" s="62" t="str"/>
    </x:row>
    <x:row r="6">
      <x:c r="A6" s="63" t="str">
        <x:v>BAS-02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Variables</x:v>
      </x:c>
      <x:c r="F6" s="64" t="str">
        <x:v>Demonstrate quoting differences between single quotes, double quotes and unquoted variables.</x:v>
      </x:c>
      <x:c r="G6" s="64" t="str">
        <x:v>quote_demo.sh and notes.</x:v>
      </x:c>
      <x:c r="H6" s="64" t="str">
        <x:v>bash-scripting-challenges</x:v>
      </x:c>
      <x:c r="I6" s="64" t="str">
        <x:v>30 min</x:v>
      </x:c>
      <x:c r="J6" s="64" t="str"/>
      <x:c r="K6" s="96"/>
      <x:c r="L6" s="96"/>
      <x:c r="M6" s="65" t="str"/>
    </x:row>
    <x:row r="7">
      <x:c r="A7" s="63" t="str">
        <x:v>BAS-03</x:v>
      </x:c>
      <x:c r="B7" s="64" t="str">
        <x:v>Not Started</x:v>
      </x:c>
      <x:c r="C7" s="64" t="str">
        <x:v>Easy</x:v>
      </x:c>
      <x:c r="D7" s="64" t="str">
        <x:v>Must Know</x:v>
      </x:c>
      <x:c r="E7" s="64" t="str">
        <x:v>Input</x:v>
      </x:c>
      <x:c r="F7" s="64" t="str">
        <x:v>Create a script that validates required command-line arguments.</x:v>
      </x:c>
      <x:c r="G7" s="64" t="str">
        <x:v>validate_args.sh with usage message.</x:v>
      </x:c>
      <x:c r="H7" s="64" t="str">
        <x:v>bash-scripting-challenges</x:v>
      </x:c>
      <x:c r="I7" s="64" t="str">
        <x:v>45 min</x:v>
      </x:c>
      <x:c r="J7" s="64" t="str"/>
      <x:c r="K7" s="96"/>
      <x:c r="L7" s="96"/>
      <x:c r="M7" s="65" t="str"/>
    </x:row>
    <x:row r="8">
      <x:c r="A8" s="63" t="str">
        <x:v>BAS-04</x:v>
      </x:c>
      <x:c r="B8" s="64" t="str">
        <x:v>Not Started</x:v>
      </x:c>
      <x:c r="C8" s="64" t="str">
        <x:v>Easy</x:v>
      </x:c>
      <x:c r="D8" s="64" t="str">
        <x:v>Must Know</x:v>
      </x:c>
      <x:c r="E8" s="64" t="str">
        <x:v>Conditions</x:v>
      </x:c>
      <x:c r="F8" s="64" t="str">
        <x:v>Write a service check with if/elif/else and meaningful exit codes.</x:v>
      </x:c>
      <x:c r="G8" s="64" t="str">
        <x:v>service_check.sh + tests.</x:v>
      </x:c>
      <x:c r="H8" s="64" t="str">
        <x:v>linux-automation-toolkit</x:v>
      </x:c>
      <x:c r="I8" s="64" t="str">
        <x:v>45 min</x:v>
      </x:c>
      <x:c r="J8" s="64" t="str"/>
      <x:c r="K8" s="96"/>
      <x:c r="L8" s="96"/>
      <x:c r="M8" s="65" t="str"/>
    </x:row>
    <x:row r="9">
      <x:c r="A9" s="63" t="str">
        <x:v>BAS-05</x:v>
      </x:c>
      <x:c r="B9" s="64" t="str">
        <x:v>Not Started</x:v>
      </x:c>
      <x:c r="C9" s="64" t="str">
        <x:v>Medium</x:v>
      </x:c>
      <x:c r="D9" s="64" t="str">
        <x:v>Must Know</x:v>
      </x:c>
      <x:c r="E9" s="64" t="str">
        <x:v>Loops</x:v>
      </x:c>
      <x:c r="F9" s="64" t="str">
        <x:v>Process every .log file in a directory and produce a summary.</x:v>
      </x:c>
      <x:c r="G9" s="64" t="str">
        <x:v>log_batch_report.sh.</x:v>
      </x:c>
      <x:c r="H9" s="64" t="str">
        <x:v>linux-automation-toolkit</x:v>
      </x:c>
      <x:c r="I9" s="64" t="str">
        <x:v>60 min</x:v>
      </x:c>
      <x:c r="J9" s="64" t="str"/>
      <x:c r="K9" s="96"/>
      <x:c r="L9" s="96"/>
      <x:c r="M9" s="65" t="str"/>
    </x:row>
    <x:row r="10">
      <x:c r="A10" s="63" t="str">
        <x:v>BAS-06</x:v>
      </x:c>
      <x:c r="B10" s="64" t="str">
        <x:v>Not Started</x:v>
      </x:c>
      <x:c r="C10" s="64" t="str">
        <x:v>Medium</x:v>
      </x:c>
      <x:c r="D10" s="64" t="str">
        <x:v>Core</x:v>
      </x:c>
      <x:c r="E10" s="64" t="str">
        <x:v>Functions</x:v>
      </x:c>
      <x:c r="F10" s="64" t="str">
        <x:v>Refactor a script into reusable functions with local variables.</x:v>
      </x:c>
      <x:c r="G10" s="64" t="str">
        <x:v>Before/after comparison.</x:v>
      </x:c>
      <x:c r="H10" s="64" t="str">
        <x:v>bash-scripting-challenges</x:v>
      </x:c>
      <x:c r="I10" s="64" t="str">
        <x:v>60 min</x:v>
      </x:c>
      <x:c r="J10" s="64" t="str"/>
      <x:c r="K10" s="96"/>
      <x:c r="L10" s="96"/>
      <x:c r="M10" s="65" t="str"/>
    </x:row>
    <x:row r="11">
      <x:c r="A11" s="63" t="str">
        <x:v>BAS-07</x:v>
      </x:c>
      <x:c r="B11" s="64" t="str">
        <x:v>Not Started</x:v>
      </x:c>
      <x:c r="C11" s="64" t="str">
        <x:v>Medium</x:v>
      </x:c>
      <x:c r="D11" s="64" t="str">
        <x:v>Core</x:v>
      </x:c>
      <x:c r="E11" s="64" t="str">
        <x:v>Arrays</x:v>
      </x:c>
      <x:c r="F11" s="64" t="str">
        <x:v>Parse a colon-separated PATH into an array and report invalid directories.</x:v>
      </x:c>
      <x:c r="G11" s="64" t="str">
        <x:v>path_audit.sh.</x:v>
      </x:c>
      <x:c r="H11" s="64" t="str">
        <x:v>linux-automation-toolkit</x:v>
      </x:c>
      <x:c r="I11" s="64" t="str">
        <x:v>60 min</x:v>
      </x:c>
      <x:c r="J11" s="64" t="str"/>
      <x:c r="K11" s="96"/>
      <x:c r="L11" s="96"/>
      <x:c r="M11" s="65" t="str"/>
    </x:row>
    <x:row r="12">
      <x:c r="A12" s="63" t="str">
        <x:v>BAS-08</x:v>
      </x:c>
      <x:c r="B12" s="64" t="str">
        <x:v>Not Started</x:v>
      </x:c>
      <x:c r="C12" s="64" t="str">
        <x:v>Medium</x:v>
      </x:c>
      <x:c r="D12" s="64" t="str">
        <x:v>Must Know</x:v>
      </x:c>
      <x:c r="E12" s="64" t="str">
        <x:v>getopts</x:v>
      </x:c>
      <x:c r="F12" s="64" t="str">
        <x:v>Build a CLI supporting -f, -o, -v and -h options.</x:v>
      </x:c>
      <x:c r="G12" s="64" t="str">
        <x:v>cli_tool.sh + usage examples.</x:v>
      </x:c>
      <x:c r="H12" s="64" t="str">
        <x:v>bash-scripting-challenges</x:v>
      </x:c>
      <x:c r="I12" s="64" t="str">
        <x:v>75 min</x:v>
      </x:c>
      <x:c r="J12" s="64" t="str"/>
      <x:c r="K12" s="96"/>
      <x:c r="L12" s="96"/>
      <x:c r="M12" s="65" t="str"/>
    </x:row>
    <x:row r="13">
      <x:c r="A13" s="63" t="str">
        <x:v>BAS-09</x:v>
      </x:c>
      <x:c r="B13" s="64" t="str">
        <x:v>Not Started</x:v>
      </x:c>
      <x:c r="C13" s="64" t="str">
        <x:v>Medium</x:v>
      </x:c>
      <x:c r="D13" s="64" t="str">
        <x:v>Must Know</x:v>
      </x:c>
      <x:c r="E13" s="64" t="str">
        <x:v>Exit codes</x:v>
      </x:c>
      <x:c r="F13" s="64" t="str">
        <x:v>Create a script that calls three commands and stops on a critical failure.</x:v>
      </x:c>
      <x:c r="G13" s="64" t="str">
        <x:v>workflow.sh with explicit error handling.</x:v>
      </x:c>
      <x:c r="H13" s="64" t="str">
        <x:v>bash-scripting-challenges</x:v>
      </x:c>
      <x:c r="I13" s="64" t="str">
        <x:v>60 min</x:v>
      </x:c>
      <x:c r="J13" s="64" t="str"/>
      <x:c r="K13" s="96"/>
      <x:c r="L13" s="96"/>
      <x:c r="M13" s="65" t="str"/>
    </x:row>
    <x:row r="14">
      <x:c r="A14" s="63" t="str">
        <x:v>BAS-10</x:v>
      </x:c>
      <x:c r="B14" s="64" t="str">
        <x:v>Not Started</x:v>
      </x:c>
      <x:c r="C14" s="64" t="str">
        <x:v>Hard</x:v>
      </x:c>
      <x:c r="D14" s="64" t="str">
        <x:v>Interview</x:v>
      </x:c>
      <x:c r="E14" s="64" t="str">
        <x:v>Strict mode</x:v>
      </x:c>
      <x:c r="F14" s="64" t="str">
        <x:v>Compare behavior with set -euo pipefail and explain limitations.</x:v>
      </x:c>
      <x:c r="G14" s="64" t="str">
        <x:v>strict_mode_lab.sh + notes.</x:v>
      </x:c>
      <x:c r="H14" s="64" t="str">
        <x:v>bash-scripting-challenges</x:v>
      </x:c>
      <x:c r="I14" s="64" t="str">
        <x:v>75 min</x:v>
      </x:c>
      <x:c r="J14" s="64" t="str"/>
      <x:c r="K14" s="96"/>
      <x:c r="L14" s="96"/>
      <x:c r="M14" s="65" t="str"/>
    </x:row>
    <x:row r="15">
      <x:c r="A15" s="63" t="str">
        <x:v>BAS-11</x:v>
      </x:c>
      <x:c r="B15" s="64" t="str">
        <x:v>Not Started</x:v>
      </x:c>
      <x:c r="C15" s="64" t="str">
        <x:v>Medium</x:v>
      </x:c>
      <x:c r="D15" s="64" t="str">
        <x:v>Must Know</x:v>
      </x:c>
      <x:c r="E15" s="64" t="str">
        <x:v>Temporary files</x:v>
      </x:c>
      <x:c r="F15" s="64" t="str">
        <x:v>Use mktemp and trap to safely process intermediate data.</x:v>
      </x:c>
      <x:c r="G15" s="64" t="str">
        <x:v>safe_temp_processing.sh.</x:v>
      </x:c>
      <x:c r="H15" s="64" t="str">
        <x:v>bash-scripting-challenges</x:v>
      </x:c>
      <x:c r="I15" s="64" t="str">
        <x:v>60 min</x:v>
      </x:c>
      <x:c r="J15" s="64" t="str"/>
      <x:c r="K15" s="96"/>
      <x:c r="L15" s="96"/>
      <x:c r="M15" s="65" t="str"/>
    </x:row>
    <x:row r="16">
      <x:c r="A16" s="63" t="str">
        <x:v>BAS-12</x:v>
      </x:c>
      <x:c r="B16" s="64" t="str">
        <x:v>Not Started</x:v>
      </x:c>
      <x:c r="C16" s="64" t="str">
        <x:v>Medium</x:v>
      </x:c>
      <x:c r="D16" s="64" t="str">
        <x:v>Must Know</x:v>
      </x:c>
      <x:c r="E16" s="64" t="str">
        <x:v>Pipelines</x:v>
      </x:c>
      <x:c r="F16" s="64" t="str">
        <x:v>Build a pipeline that extracts, sorts and counts unique log values.</x:v>
      </x:c>
      <x:c r="G16" s="64" t="str">
        <x:v>pipeline_challenge.sh.</x:v>
      </x:c>
      <x:c r="H16" s="64" t="str">
        <x:v>bash-scripting-challenges</x:v>
      </x:c>
      <x:c r="I16" s="64" t="str">
        <x:v>45 min</x:v>
      </x:c>
      <x:c r="J16" s="64" t="str"/>
      <x:c r="K16" s="96"/>
      <x:c r="L16" s="96"/>
      <x:c r="M16" s="65" t="str"/>
    </x:row>
    <x:row r="17">
      <x:c r="A17" s="63" t="str">
        <x:v>BAS-13</x:v>
      </x:c>
      <x:c r="B17" s="64" t="str">
        <x:v>Not Started</x:v>
      </x:c>
      <x:c r="C17" s="64" t="str">
        <x:v>Medium</x:v>
      </x:c>
      <x:c r="D17" s="64" t="str">
        <x:v>Core</x:v>
      </x:c>
      <x:c r="E17" s="64" t="str">
        <x:v>Here docs</x:v>
      </x:c>
      <x:c r="F17" s="64" t="str">
        <x:v>Generate a configuration file using a here-document.</x:v>
      </x:c>
      <x:c r="G17" s="64" t="str">
        <x:v>generate_config.sh.</x:v>
      </x:c>
      <x:c r="H17" s="64" t="str">
        <x:v>linux-automation-toolkit</x:v>
      </x:c>
      <x:c r="I17" s="64" t="str">
        <x:v>45 min</x:v>
      </x:c>
      <x:c r="J17" s="64" t="str"/>
      <x:c r="K17" s="96"/>
      <x:c r="L17" s="96"/>
      <x:c r="M17" s="65" t="str"/>
    </x:row>
    <x:row r="18">
      <x:c r="A18" s="63" t="str">
        <x:v>BAS-14</x:v>
      </x:c>
      <x:c r="B18" s="64" t="str">
        <x:v>Not Started</x:v>
      </x:c>
      <x:c r="C18" s="64" t="str">
        <x:v>Hard</x:v>
      </x:c>
      <x:c r="D18" s="64" t="str">
        <x:v>Interview</x:v>
      </x:c>
      <x:c r="E18" s="64" t="str">
        <x:v>Substitution</x:v>
      </x:c>
      <x:c r="F18" s="64" t="str">
        <x:v>Practice command substitution and parameter expansion without unnecessary subprocesses.</x:v>
      </x:c>
      <x:c r="G18" s="64" t="str">
        <x:v>parameter_expansion.md + examples.</x:v>
      </x:c>
      <x:c r="H18" s="64" t="str">
        <x:v>bash-scripting-challenges</x:v>
      </x:c>
      <x:c r="I18" s="64" t="str">
        <x:v>75 min</x:v>
      </x:c>
      <x:c r="J18" s="64" t="str"/>
      <x:c r="K18" s="96"/>
      <x:c r="L18" s="96"/>
      <x:c r="M18" s="65" t="str"/>
    </x:row>
    <x:row r="19">
      <x:c r="A19" s="63" t="str">
        <x:v>BAS-15</x:v>
      </x:c>
      <x:c r="B19" s="64" t="str">
        <x:v>Not Started</x:v>
      </x:c>
      <x:c r="C19" s="64" t="str">
        <x:v>Medium</x:v>
      </x:c>
      <x:c r="D19" s="64" t="str">
        <x:v>Must Know</x:v>
      </x:c>
      <x:c r="E19" s="64" t="str">
        <x:v>CSV</x:v>
      </x:c>
      <x:c r="F19" s="64" t="str">
        <x:v>Create csv_filter.sh that selects rows by first column and reorders output columns.</x:v>
      </x:c>
      <x:c r="G19" s="64" t="str">
        <x:v>Script + test data + tests.</x:v>
      </x:c>
      <x:c r="H19" s="64" t="str">
        <x:v>bash-scripting-challenges</x:v>
      </x:c>
      <x:c r="I19" s="64" t="str">
        <x:v>75 min</x:v>
      </x:c>
      <x:c r="J19" s="64" t="str"/>
      <x:c r="K19" s="96"/>
      <x:c r="L19" s="96"/>
      <x:c r="M19" s="65" t="str"/>
    </x:row>
    <x:row r="20">
      <x:c r="A20" s="63" t="str">
        <x:v>BAS-16</x:v>
      </x:c>
      <x:c r="B20" s="64" t="str">
        <x:v>Not Started</x:v>
      </x:c>
      <x:c r="C20" s="64" t="str">
        <x:v>Medium</x:v>
      </x:c>
      <x:c r="D20" s="64" t="str">
        <x:v>Core</x:v>
      </x:c>
      <x:c r="E20" s="64" t="str">
        <x:v>JSON</x:v>
      </x:c>
      <x:c r="F20" s="64" t="str">
        <x:v>Use jq in Bash to read API-style JSON and create a report.</x:v>
      </x:c>
      <x:c r="G20" s="64" t="str">
        <x:v>json_report.sh + fixture.</x:v>
      </x:c>
      <x:c r="H20" s="64" t="str">
        <x:v>linux-automation-toolkit</x:v>
      </x:c>
      <x:c r="I20" s="64" t="str">
        <x:v>60 min</x:v>
      </x:c>
      <x:c r="J20" s="64" t="str"/>
      <x:c r="K20" s="96"/>
      <x:c r="L20" s="96"/>
      <x:c r="M20" s="65" t="str"/>
    </x:row>
    <x:row r="21">
      <x:c r="A21" s="63" t="str">
        <x:v>BAS-17</x:v>
      </x:c>
      <x:c r="B21" s="64" t="str">
        <x:v>Not Started</x:v>
      </x:c>
      <x:c r="C21" s="64" t="str">
        <x:v>Medium</x:v>
      </x:c>
      <x:c r="D21" s="64" t="str">
        <x:v>Must Know</x:v>
      </x:c>
      <x:c r="E21" s="64" t="str">
        <x:v>Logging</x:v>
      </x:c>
      <x:c r="F21" s="64" t="str">
        <x:v>Add timestamped INFO/WARN/ERROR logging functions to a script.</x:v>
      </x:c>
      <x:c r="G21" s="64" t="str">
        <x:v>logging_library.sh.</x:v>
      </x:c>
      <x:c r="H21" s="64" t="str">
        <x:v>linux-automation-toolkit</x:v>
      </x:c>
      <x:c r="I21" s="64" t="str">
        <x:v>75 min</x:v>
      </x:c>
      <x:c r="J21" s="64" t="str"/>
      <x:c r="K21" s="96"/>
      <x:c r="L21" s="96"/>
      <x:c r="M21" s="65" t="str"/>
    </x:row>
    <x:row r="22">
      <x:c r="A22" s="63" t="str">
        <x:v>BAS-18</x:v>
      </x:c>
      <x:c r="B22" s="64" t="str">
        <x:v>Not Started</x:v>
      </x:c>
      <x:c r="C22" s="64" t="str">
        <x:v>Hard</x:v>
      </x:c>
      <x:c r="D22" s="64" t="str">
        <x:v>SRE</x:v>
      </x:c>
      <x:c r="E22" s="64" t="str">
        <x:v>Retry</x:v>
      </x:c>
      <x:c r="F22" s="64" t="str">
        <x:v>Implement retry with maximum attempts and exponential backoff.</x:v>
      </x:c>
      <x:c r="G22" s="64" t="str">
        <x:v>retry.sh + simulated unreliable command.</x:v>
      </x:c>
      <x:c r="H22" s="64" t="str">
        <x:v>linux-automation-toolkit</x:v>
      </x:c>
      <x:c r="I22" s="64" t="str">
        <x:v>90 min</x:v>
      </x:c>
      <x:c r="J22" s="64" t="str"/>
      <x:c r="K22" s="96"/>
      <x:c r="L22" s="96"/>
      <x:c r="M22" s="65" t="str"/>
    </x:row>
    <x:row r="23">
      <x:c r="A23" s="63" t="str">
        <x:v>BAS-19</x:v>
      </x:c>
      <x:c r="B23" s="64" t="str">
        <x:v>Not Started</x:v>
      </x:c>
      <x:c r="C23" s="64" t="str">
        <x:v>Hard</x:v>
      </x:c>
      <x:c r="D23" s="64" t="str">
        <x:v>SRE</x:v>
      </x:c>
      <x:c r="E23" s="64" t="str">
        <x:v>Locking</x:v>
      </x:c>
      <x:c r="F23" s="64" t="str">
        <x:v>Prevent two instances of a backup script from running simultaneously.</x:v>
      </x:c>
      <x:c r="G23" s="64" t="str">
        <x:v>backup_with_lock.sh.</x:v>
      </x:c>
      <x:c r="H23" s="64" t="str">
        <x:v>linux-automation-toolkit</x:v>
      </x:c>
      <x:c r="I23" s="64" t="str">
        <x:v>90 min</x:v>
      </x:c>
      <x:c r="J23" s="64" t="str"/>
      <x:c r="K23" s="96"/>
      <x:c r="L23" s="96"/>
      <x:c r="M23" s="65" t="str"/>
    </x:row>
    <x:row r="24">
      <x:c r="A24" s="66" t="str">
        <x:v>BAS-20</x:v>
      </x:c>
      <x:c r="B24" s="67" t="str">
        <x:v>Not Started</x:v>
      </x:c>
      <x:c r="C24" s="67" t="str">
        <x:v>Hard</x:v>
      </x:c>
      <x:c r="D24" s="67" t="str">
        <x:v>Portfolio</x:v>
      </x:c>
      <x:c r="E24" s="67" t="str">
        <x:v>Project</x:v>
      </x:c>
      <x:c r="F24" s="67" t="str">
        <x:v>Build system_health.sh combining CPU, memory, disk, services and network checks.</x:v>
      </x:c>
      <x:c r="G24" s="67" t="str">
        <x:v>Production-style script + README + examples.</x:v>
      </x:c>
      <x:c r="H24" s="67" t="str">
        <x:v>linux-automation-toolkit</x:v>
      </x:c>
      <x:c r="I24" s="67" t="str">
        <x:v>180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5" priority="1">
      <x:formula>B5="Done"</x:formula>
    </x:cfRule>
    <x:cfRule type="expression" dxfId="6" priority="2">
      <x:formula>B5="In Progress"</x:formula>
    </x:cfRule>
    <x:cfRule type="expression" dxfId="7" priority="3">
      <x:formula>B5="Blocked"</x:formula>
    </x:cfRule>
  </x:conditionalFormatting>
  <x:conditionalFormatting sqref="C5:C24">
    <x:cfRule type="expression" dxfId="8" priority="4">
      <x:formula>C5="Hard"</x:formula>
    </x:cfRule>
    <x:cfRule type="expression" dxfId="9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988db6ff4344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Text Processing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TEX-01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grep</x:v>
      </x:c>
      <x:c r="F5" s="61" t="str">
        <x:v>Find ERROR lines case-insensitively and include line numbers and context.</x:v>
      </x:c>
      <x:c r="G5" s="61" t="str">
        <x:v>grep-exercises.md with commands.</x:v>
      </x:c>
      <x:c r="H5" s="61" t="str">
        <x:v>bash-scripting-challenges</x:v>
      </x:c>
      <x:c r="I5" s="61" t="str">
        <x:v>30 min</x:v>
      </x:c>
      <x:c r="J5" s="61" t="str"/>
      <x:c r="K5" s="95"/>
      <x:c r="L5" s="95"/>
      <x:c r="M5" s="62" t="str"/>
    </x:row>
    <x:row r="6">
      <x:c r="A6" s="63" t="str">
        <x:v>TEX-02</x:v>
      </x:c>
      <x:c r="B6" s="64" t="str">
        <x:v>Not Started</x:v>
      </x:c>
      <x:c r="C6" s="64" t="str">
        <x:v>Medium</x:v>
      </x:c>
      <x:c r="D6" s="64" t="str">
        <x:v>Interview</x:v>
      </x:c>
      <x:c r="E6" s="64" t="str">
        <x:v>grep regex</x:v>
      </x:c>
      <x:c r="F6" s="64" t="str">
        <x:v>Extract IPv4 addresses and validate approximate formatting with extended regex.</x:v>
      </x:c>
      <x:c r="G6" s="64" t="str">
        <x:v>Regex notes + sample data.</x:v>
      </x:c>
      <x:c r="H6" s="64" t="str">
        <x:v>bash-scripting-challenges</x:v>
      </x:c>
      <x:c r="I6" s="64" t="str">
        <x:v>45 min</x:v>
      </x:c>
      <x:c r="J6" s="64" t="str"/>
      <x:c r="K6" s="96"/>
      <x:c r="L6" s="96"/>
      <x:c r="M6" s="65" t="str"/>
    </x:row>
    <x:row r="7">
      <x:c r="A7" s="63" t="str">
        <x:v>TEX-03</x:v>
      </x:c>
      <x:c r="B7" s="64" t="str">
        <x:v>Not Started</x:v>
      </x:c>
      <x:c r="C7" s="64" t="str">
        <x:v>Easy</x:v>
      </x:c>
      <x:c r="D7" s="64" t="str">
        <x:v>Core</x:v>
      </x:c>
      <x:c r="E7" s="64" t="str">
        <x:v>cut</x:v>
      </x:c>
      <x:c r="F7" s="64" t="str">
        <x:v>Extract selected delimiter-separated fields from a dataset.</x:v>
      </x:c>
      <x:c r="G7" s="64" t="str">
        <x:v>cut-lab.md.</x:v>
      </x:c>
      <x:c r="H7" s="64" t="str">
        <x:v>bash-scripting-challenges</x:v>
      </x:c>
      <x:c r="I7" s="64" t="str">
        <x:v>30 min</x:v>
      </x:c>
      <x:c r="J7" s="64" t="str"/>
      <x:c r="K7" s="96"/>
      <x:c r="L7" s="96"/>
      <x:c r="M7" s="65" t="str"/>
    </x:row>
    <x:row r="8">
      <x:c r="A8" s="63" t="str">
        <x:v>TEX-04</x:v>
      </x:c>
      <x:c r="B8" s="64" t="str">
        <x:v>Not Started</x:v>
      </x:c>
      <x:c r="C8" s="64" t="str">
        <x:v>Medium</x:v>
      </x:c>
      <x:c r="D8" s="64" t="str">
        <x:v>Interview</x:v>
      </x:c>
      <x:c r="E8" s="64" t="str">
        <x:v>tr</x:v>
      </x:c>
      <x:c r="F8" s="64" t="str">
        <x:v>Convert NUL-separated environment records into newline-separated output.</x:v>
      </x:c>
      <x:c r="G8" s="64" t="str">
        <x:v>nul-delimiter-lab.sh.</x:v>
      </x:c>
      <x:c r="H8" s="64" t="str">
        <x:v>bash-scripting-challenges</x:v>
      </x:c>
      <x:c r="I8" s="64" t="str">
        <x:v>45 min</x:v>
      </x:c>
      <x:c r="J8" s="64" t="str"/>
      <x:c r="K8" s="96"/>
      <x:c r="L8" s="96"/>
      <x:c r="M8" s="65" t="str"/>
    </x:row>
    <x:row r="9">
      <x:c r="A9" s="63" t="str">
        <x:v>TEX-05</x:v>
      </x:c>
      <x:c r="B9" s="64" t="str">
        <x:v>Not Started</x:v>
      </x:c>
      <x:c r="C9" s="64" t="str">
        <x:v>Easy</x:v>
      </x:c>
      <x:c r="D9" s="64" t="str">
        <x:v>Must Know</x:v>
      </x:c>
      <x:c r="E9" s="64" t="str">
        <x:v>sort uniq</x:v>
      </x:c>
      <x:c r="F9" s="64" t="str">
        <x:v>Find the ten most common values in a file.</x:v>
      </x:c>
      <x:c r="G9" s="64" t="str">
        <x:v>frequency-report.sh.</x:v>
      </x:c>
      <x:c r="H9" s="64" t="str">
        <x:v>bash-scripting-challenges</x:v>
      </x:c>
      <x:c r="I9" s="64" t="str">
        <x:v>30 min</x:v>
      </x:c>
      <x:c r="J9" s="64" t="str"/>
      <x:c r="K9" s="96"/>
      <x:c r="L9" s="96"/>
      <x:c r="M9" s="65" t="str"/>
    </x:row>
    <x:row r="10">
      <x:c r="A10" s="63" t="str">
        <x:v>TEX-06</x:v>
      </x:c>
      <x:c r="B10" s="64" t="str">
        <x:v>Not Started</x:v>
      </x:c>
      <x:c r="C10" s="64" t="str">
        <x:v>Easy</x:v>
      </x:c>
      <x:c r="D10" s="64" t="str">
        <x:v>Must Know</x:v>
      </x:c>
      <x:c r="E10" s="64" t="str">
        <x:v>awk filter</x:v>
      </x:c>
      <x:c r="F10" s="64" t="str">
        <x:v>Display records matching a value in the first column.</x:v>
      </x:c>
      <x:c r="G10" s="64" t="str">
        <x:v>awk-filter.sh + dataset.</x:v>
      </x:c>
      <x:c r="H10" s="64" t="str">
        <x:v>bash-scripting-challenges</x:v>
      </x:c>
      <x:c r="I10" s="64" t="str">
        <x:v>30 min</x:v>
      </x:c>
      <x:c r="J10" s="64" t="str"/>
      <x:c r="K10" s="96"/>
      <x:c r="L10" s="96"/>
      <x:c r="M10" s="65" t="str"/>
    </x:row>
    <x:row r="11">
      <x:c r="A11" s="63" t="str">
        <x:v>TEX-07</x:v>
      </x:c>
      <x:c r="B11" s="64" t="str">
        <x:v>Not Started</x:v>
      </x:c>
      <x:c r="C11" s="64" t="str">
        <x:v>Medium</x:v>
      </x:c>
      <x:c r="D11" s="64" t="str">
        <x:v>Must Know</x:v>
      </x:c>
      <x:c r="E11" s="64" t="str">
        <x:v>awk columns</x:v>
      </x:c>
      <x:c r="F11" s="64" t="str">
        <x:v>Reorder columns and add a computed field.</x:v>
      </x:c>
      <x:c r="G11" s="64" t="str">
        <x:v>awk-columns.sh.</x:v>
      </x:c>
      <x:c r="H11" s="64" t="str">
        <x:v>bash-scripting-challenges</x:v>
      </x:c>
      <x:c r="I11" s="64" t="str">
        <x:v>45 min</x:v>
      </x:c>
      <x:c r="J11" s="64" t="str"/>
      <x:c r="K11" s="96"/>
      <x:c r="L11" s="96"/>
      <x:c r="M11" s="65" t="str"/>
    </x:row>
    <x:row r="12">
      <x:c r="A12" s="63" t="str">
        <x:v>TEX-08</x:v>
      </x:c>
      <x:c r="B12" s="64" t="str">
        <x:v>Not Started</x:v>
      </x:c>
      <x:c r="C12" s="64" t="str">
        <x:v>Medium</x:v>
      </x:c>
      <x:c r="D12" s="64" t="str">
        <x:v>Interview</x:v>
      </x:c>
      <x:c r="E12" s="64" t="str">
        <x:v>awk aggregate</x:v>
      </x:c>
      <x:c r="F12" s="64" t="str">
        <x:v>Sum and average the fourth numeric column grouped by the first column.</x:v>
      </x:c>
      <x:c r="G12" s="64" t="str">
        <x:v>awk-aggregate.sh.</x:v>
      </x:c>
      <x:c r="H12" s="64" t="str">
        <x:v>bash-scripting-challenges</x:v>
      </x:c>
      <x:c r="I12" s="64" t="str">
        <x:v>60 min</x:v>
      </x:c>
      <x:c r="J12" s="64" t="str"/>
      <x:c r="K12" s="96"/>
      <x:c r="L12" s="96"/>
      <x:c r="M12" s="65" t="str"/>
    </x:row>
    <x:row r="13">
      <x:c r="A13" s="63" t="str">
        <x:v>TEX-09</x:v>
      </x:c>
      <x:c r="B13" s="64" t="str">
        <x:v>Not Started</x:v>
      </x:c>
      <x:c r="C13" s="64" t="str">
        <x:v>Medium</x:v>
      </x:c>
      <x:c r="D13" s="64" t="str">
        <x:v>Core</x:v>
      </x:c>
      <x:c r="E13" s="64" t="str">
        <x:v>awk header</x:v>
      </x:c>
      <x:c r="F13" s="64" t="str">
        <x:v>Process a dataset while preserving or replacing the header.</x:v>
      </x:c>
      <x:c r="G13" s="64" t="str">
        <x:v>awk-header.sh.</x:v>
      </x:c>
      <x:c r="H13" s="64" t="str">
        <x:v>bash-scripting-challenges</x:v>
      </x:c>
      <x:c r="I13" s="64" t="str">
        <x:v>45 min</x:v>
      </x:c>
      <x:c r="J13" s="64" t="str"/>
      <x:c r="K13" s="96"/>
      <x:c r="L13" s="96"/>
      <x:c r="M13" s="65" t="str"/>
    </x:row>
    <x:row r="14">
      <x:c r="A14" s="63" t="str">
        <x:v>TEX-10</x:v>
      </x:c>
      <x:c r="B14" s="64" t="str">
        <x:v>Not Started</x:v>
      </x:c>
      <x:c r="C14" s="64" t="str">
        <x:v>Medium</x:v>
      </x:c>
      <x:c r="D14" s="64" t="str">
        <x:v>Must Know</x:v>
      </x:c>
      <x:c r="E14" s="64" t="str">
        <x:v>sed substitute</x:v>
      </x:c>
      <x:c r="F14" s="64" t="str">
        <x:v>Replace configuration values safely and show a dry-run first.</x:v>
      </x:c>
      <x:c r="G14" s="64" t="str">
        <x:v>sed-config-update.sh.</x:v>
      </x:c>
      <x:c r="H14" s="64" t="str">
        <x:v>bash-scripting-challenges</x:v>
      </x:c>
      <x:c r="I14" s="64" t="str">
        <x:v>45 min</x:v>
      </x:c>
      <x:c r="J14" s="64" t="str"/>
      <x:c r="K14" s="96"/>
      <x:c r="L14" s="96"/>
      <x:c r="M14" s="65" t="str"/>
    </x:row>
    <x:row r="15">
      <x:c r="A15" s="63" t="str">
        <x:v>TEX-11</x:v>
      </x:c>
      <x:c r="B15" s="64" t="str">
        <x:v>Not Started</x:v>
      </x:c>
      <x:c r="C15" s="64" t="str">
        <x:v>Easy</x:v>
      </x:c>
      <x:c r="D15" s="64" t="str">
        <x:v>Core</x:v>
      </x:c>
      <x:c r="E15" s="64" t="str">
        <x:v>sed delete</x:v>
      </x:c>
      <x:c r="F15" s="64" t="str">
        <x:v>Remove comments and blank lines from configuration input.</x:v>
      </x:c>
      <x:c r="G15" s="64" t="str">
        <x:v>clean-config.sh.</x:v>
      </x:c>
      <x:c r="H15" s="64" t="str">
        <x:v>bash-scripting-challenges</x:v>
      </x:c>
      <x:c r="I15" s="64" t="str">
        <x:v>30 min</x:v>
      </x:c>
      <x:c r="J15" s="64" t="str"/>
      <x:c r="K15" s="96"/>
      <x:c r="L15" s="96"/>
      <x:c r="M15" s="65" t="str"/>
    </x:row>
    <x:row r="16">
      <x:c r="A16" s="63" t="str">
        <x:v>TEX-12</x:v>
      </x:c>
      <x:c r="B16" s="64" t="str">
        <x:v>Not Started</x:v>
      </x:c>
      <x:c r="C16" s="64" t="str">
        <x:v>Medium</x:v>
      </x:c>
      <x:c r="D16" s="64" t="str">
        <x:v>Core</x:v>
      </x:c>
      <x:c r="E16" s="64" t="str">
        <x:v>sed range</x:v>
      </x:c>
      <x:c r="F16" s="64" t="str">
        <x:v>Print or modify only a selected range of lines.</x:v>
      </x:c>
      <x:c r="G16" s="64" t="str">
        <x:v>sed-range-lab.md.</x:v>
      </x:c>
      <x:c r="H16" s="64" t="str">
        <x:v>bash-scripting-challenges</x:v>
      </x:c>
      <x:c r="I16" s="64" t="str">
        <x:v>30 min</x:v>
      </x:c>
      <x:c r="J16" s="64" t="str"/>
      <x:c r="K16" s="96"/>
      <x:c r="L16" s="96"/>
      <x:c r="M16" s="65" t="str"/>
    </x:row>
    <x:row r="17">
      <x:c r="A17" s="63" t="str">
        <x:v>TEX-13</x:v>
      </x:c>
      <x:c r="B17" s="64" t="str">
        <x:v>Not Started</x:v>
      </x:c>
      <x:c r="C17" s="64" t="str">
        <x:v>Medium</x:v>
      </x:c>
      <x:c r="D17" s="64" t="str">
        <x:v>Core</x:v>
      </x:c>
      <x:c r="E17" s="64" t="str">
        <x:v>paste</x:v>
      </x:c>
      <x:c r="F17" s="64" t="str">
        <x:v>Combine two files column-by-column and validate row counts.</x:v>
      </x:c>
      <x:c r="G17" s="64" t="str">
        <x:v>paste-report.sh.</x:v>
      </x:c>
      <x:c r="H17" s="64" t="str">
        <x:v>bash-scripting-challenges</x:v>
      </x:c>
      <x:c r="I17" s="64" t="str">
        <x:v>45 min</x:v>
      </x:c>
      <x:c r="J17" s="64" t="str"/>
      <x:c r="K17" s="96"/>
      <x:c r="L17" s="96"/>
      <x:c r="M17" s="65" t="str"/>
    </x:row>
    <x:row r="18">
      <x:c r="A18" s="63" t="str">
        <x:v>TEX-14</x:v>
      </x:c>
      <x:c r="B18" s="64" t="str">
        <x:v>Not Started</x:v>
      </x:c>
      <x:c r="C18" s="64" t="str">
        <x:v>Hard</x:v>
      </x:c>
      <x:c r="D18" s="64" t="str">
        <x:v>Interview</x:v>
      </x:c>
      <x:c r="E18" s="64" t="str">
        <x:v>join</x:v>
      </x:c>
      <x:c r="F18" s="64" t="str">
        <x:v>Join two sorted datasets by a common key.</x:v>
      </x:c>
      <x:c r="G18" s="64" t="str">
        <x:v>join-lab.sh + fixtures.</x:v>
      </x:c>
      <x:c r="H18" s="64" t="str">
        <x:v>bash-scripting-challenges</x:v>
      </x:c>
      <x:c r="I18" s="64" t="str">
        <x:v>60 min</x:v>
      </x:c>
      <x:c r="J18" s="64" t="str"/>
      <x:c r="K18" s="96"/>
      <x:c r="L18" s="96"/>
      <x:c r="M18" s="65" t="str"/>
    </x:row>
    <x:row r="19">
      <x:c r="A19" s="63" t="str">
        <x:v>TEX-15</x:v>
      </x:c>
      <x:c r="B19" s="64" t="str">
        <x:v>Not Started</x:v>
      </x:c>
      <x:c r="C19" s="64" t="str">
        <x:v>Medium</x:v>
      </x:c>
      <x:c r="D19" s="64" t="str">
        <x:v>SRE</x:v>
      </x:c>
      <x:c r="E19" s="64" t="str">
        <x:v>comm</x:v>
      </x:c>
      <x:c r="F19" s="64" t="str">
        <x:v>Compare two sorted files to find added, removed and common records.</x:v>
      </x:c>
      <x:c r="G19" s="64" t="str">
        <x:v>compare-inventories.sh.</x:v>
      </x:c>
      <x:c r="H19" s="64" t="str">
        <x:v>linux-automation-toolkit</x:v>
      </x:c>
      <x:c r="I19" s="64" t="str">
        <x:v>45 min</x:v>
      </x:c>
      <x:c r="J19" s="64" t="str"/>
      <x:c r="K19" s="96"/>
      <x:c r="L19" s="96"/>
      <x:c r="M19" s="65" t="str"/>
    </x:row>
    <x:row r="20">
      <x:c r="A20" s="63" t="str">
        <x:v>TEX-16</x:v>
      </x:c>
      <x:c r="B20" s="64" t="str">
        <x:v>Not Started</x:v>
      </x:c>
      <x:c r="C20" s="64" t="str">
        <x:v>Medium</x:v>
      </x:c>
      <x:c r="D20" s="64" t="str">
        <x:v>Must Know</x:v>
      </x:c>
      <x:c r="E20" s="64" t="str">
        <x:v>xargs</x:v>
      </x:c>
      <x:c r="F20" s="64" t="str">
        <x:v>Safely process filenames containing spaces using find -print0 and xargs -0.</x:v>
      </x:c>
      <x:c r="G20" s="64" t="str">
        <x:v>safe-xargs-lab.sh.</x:v>
      </x:c>
      <x:c r="H20" s="64" t="str">
        <x:v>bash-scripting-challenges</x:v>
      </x:c>
      <x:c r="I20" s="64" t="str">
        <x:v>60 min</x:v>
      </x:c>
      <x:c r="J20" s="64" t="str"/>
      <x:c r="K20" s="96"/>
      <x:c r="L20" s="96"/>
      <x:c r="M20" s="65" t="str"/>
    </x:row>
    <x:row r="21">
      <x:c r="A21" s="63" t="str">
        <x:v>TEX-17</x:v>
      </x:c>
      <x:c r="B21" s="64" t="str">
        <x:v>Not Started</x:v>
      </x:c>
      <x:c r="C21" s="64" t="str">
        <x:v>Medium</x:v>
      </x:c>
      <x:c r="D21" s="64" t="str">
        <x:v>Core</x:v>
      </x:c>
      <x:c r="E21" s="64" t="str">
        <x:v>jq filter</x:v>
      </x:c>
      <x:c r="F21" s="64" t="str">
        <x:v>Filter objects, select fields and sort JSON data.</x:v>
      </x:c>
      <x:c r="G21" s="64" t="str">
        <x:v>jq-filter.sh.</x:v>
      </x:c>
      <x:c r="H21" s="64" t="str">
        <x:v>bash-scripting-challenges</x:v>
      </x:c>
      <x:c r="I21" s="64" t="str">
        <x:v>45 min</x:v>
      </x:c>
      <x:c r="J21" s="64" t="str"/>
      <x:c r="K21" s="96"/>
      <x:c r="L21" s="96"/>
      <x:c r="M21" s="65" t="str"/>
    </x:row>
    <x:row r="22">
      <x:c r="A22" s="63" t="str">
        <x:v>TEX-18</x:v>
      </x:c>
      <x:c r="B22" s="64" t="str">
        <x:v>Not Started</x:v>
      </x:c>
      <x:c r="C22" s="64" t="str">
        <x:v>Hard</x:v>
      </x:c>
      <x:c r="D22" s="64" t="str">
        <x:v>Interview</x:v>
      </x:c>
      <x:c r="E22" s="64" t="str">
        <x:v>jq aggregate</x:v>
      </x:c>
      <x:c r="F22" s="64" t="str">
        <x:v>Group JSON records and calculate counts or totals.</x:v>
      </x:c>
      <x:c r="G22" s="64" t="str">
        <x:v>jq-aggregate.sh.</x:v>
      </x:c>
      <x:c r="H22" s="64" t="str">
        <x:v>bash-scripting-challenges</x:v>
      </x:c>
      <x:c r="I22" s="64" t="str">
        <x:v>60 min</x:v>
      </x:c>
      <x:c r="J22" s="64" t="str"/>
      <x:c r="K22" s="96"/>
      <x:c r="L22" s="96"/>
      <x:c r="M22" s="65" t="str"/>
    </x:row>
    <x:row r="23">
      <x:c r="A23" s="63" t="str">
        <x:v>TEX-19</x:v>
      </x:c>
      <x:c r="B23" s="64" t="str">
        <x:v>Not Started</x:v>
      </x:c>
      <x:c r="C23" s="64" t="str">
        <x:v>Hard</x:v>
      </x:c>
      <x:c r="D23" s="64" t="str">
        <x:v>Portfolio</x:v>
      </x:c>
      <x:c r="E23" s="64" t="str">
        <x:v>Log project</x:v>
      </x:c>
      <x:c r="F23" s="64" t="str">
        <x:v>Analyze an access log: status codes, top IPs, endpoints and response times.</x:v>
      </x:c>
      <x:c r="G23" s="64" t="str">
        <x:v>nginx_log_analyzer.sh + sample report.</x:v>
      </x:c>
      <x:c r="H23" s="64" t="str">
        <x:v>linux-automation-toolkit</x:v>
      </x:c>
      <x:c r="I23" s="64" t="str">
        <x:v>150 min</x:v>
      </x:c>
      <x:c r="J23" s="64" t="str"/>
      <x:c r="K23" s="96"/>
      <x:c r="L23" s="96"/>
      <x:c r="M23" s="65" t="str"/>
    </x:row>
    <x:row r="24">
      <x:c r="A24" s="66" t="str">
        <x:v>TEX-20</x:v>
      </x:c>
      <x:c r="B24" s="67" t="str">
        <x:v>Not Started</x:v>
      </x:c>
      <x:c r="C24" s="67" t="str">
        <x:v>Hard</x:v>
      </x:c>
      <x:c r="D24" s="67" t="str">
        <x:v>Interview</x:v>
      </x:c>
      <x:c r="E24" s="67" t="str">
        <x:v>Challenge</x:v>
      </x:c>
      <x:c r="F24" s="67" t="str">
        <x:v>Solve one dataset using both awk and a pure Bash approach; compare readability and performance.</x:v>
      </x:c>
      <x:c r="G24" s="67" t="str">
        <x:v>comparison report.</x:v>
      </x:c>
      <x:c r="H24" s="67" t="str">
        <x:v>bash-scripting-challenges</x:v>
      </x:c>
      <x:c r="I24" s="67" t="str">
        <x:v>90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10" priority="1">
      <x:formula>B5="Done"</x:formula>
    </x:cfRule>
    <x:cfRule type="expression" dxfId="11" priority="2">
      <x:formula>B5="In Progress"</x:formula>
    </x:cfRule>
    <x:cfRule type="expression" dxfId="12" priority="3">
      <x:formula>B5="Blocked"</x:formula>
    </x:cfRule>
  </x:conditionalFormatting>
  <x:conditionalFormatting sqref="C5:C24">
    <x:cfRule type="expression" dxfId="13" priority="4">
      <x:formula>C5="Hard"</x:formula>
    </x:cfRule>
    <x:cfRule type="expression" dxfId="14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a7e77760604c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Docker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DOC-01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Concepts</x:v>
      </x:c>
      <x:c r="F5" s="61" t="str">
        <x:v>Explain image, container, registry, layer and runtime using your own diagram.</x:v>
      </x:c>
      <x:c r="G5" s="61" t="str">
        <x:v>docker-concepts.md.</x:v>
      </x:c>
      <x:c r="H5" s="61" t="str">
        <x:v>docker-lab</x:v>
      </x:c>
      <x:c r="I5" s="61" t="str">
        <x:v>45 min</x:v>
      </x:c>
      <x:c r="J5" s="61" t="str"/>
      <x:c r="K5" s="95"/>
      <x:c r="L5" s="95"/>
      <x:c r="M5" s="62" t="str"/>
    </x:row>
    <x:row r="6">
      <x:c r="A6" s="63" t="str">
        <x:v>DOC-02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Run</x:v>
      </x:c>
      <x:c r="F6" s="64" t="str">
        <x:v>Run nginx with port mapping and inspect the container.</x:v>
      </x:c>
      <x:c r="G6" s="64" t="str">
        <x:v>Commands + screenshots + notes.</x:v>
      </x:c>
      <x:c r="H6" s="64" t="str">
        <x:v>docker-lab</x:v>
      </x:c>
      <x:c r="I6" s="64" t="str">
        <x:v>30 min</x:v>
      </x:c>
      <x:c r="J6" s="64" t="str"/>
      <x:c r="K6" s="96"/>
      <x:c r="L6" s="96"/>
      <x:c r="M6" s="65" t="str"/>
    </x:row>
    <x:row r="7">
      <x:c r="A7" s="63" t="str">
        <x:v>DOC-03</x:v>
      </x:c>
      <x:c r="B7" s="64" t="str">
        <x:v>Not Started</x:v>
      </x:c>
      <x:c r="C7" s="64" t="str">
        <x:v>Easy</x:v>
      </x:c>
      <x:c r="D7" s="64" t="str">
        <x:v>Must Know</x:v>
      </x:c>
      <x:c r="E7" s="64" t="str">
        <x:v>Logs exec</x:v>
      </x:c>
      <x:c r="F7" s="64" t="str">
        <x:v>Use docker logs, exec, inspect and stats to troubleshoot a running container.</x:v>
      </x:c>
      <x:c r="G7" s="64" t="str">
        <x:v>debug-session.md.</x:v>
      </x:c>
      <x:c r="H7" s="64" t="str">
        <x:v>docker-lab</x:v>
      </x:c>
      <x:c r="I7" s="64" t="str">
        <x:v>45 min</x:v>
      </x:c>
      <x:c r="J7" s="64" t="str"/>
      <x:c r="K7" s="96"/>
      <x:c r="L7" s="96"/>
      <x:c r="M7" s="65" t="str"/>
    </x:row>
    <x:row r="8">
      <x:c r="A8" s="63" t="str">
        <x:v>DOC-04</x:v>
      </x:c>
      <x:c r="B8" s="64" t="str">
        <x:v>Not Started</x:v>
      </x:c>
      <x:c r="C8" s="64" t="str">
        <x:v>Medium</x:v>
      </x:c>
      <x:c r="D8" s="64" t="str">
        <x:v>Must Know</x:v>
      </x:c>
      <x:c r="E8" s="64" t="str">
        <x:v>Dockerfile</x:v>
      </x:c>
      <x:c r="F8" s="64" t="str">
        <x:v>Containerize a small FastAPI application.</x:v>
      </x:c>
      <x:c r="G8" s="64" t="str">
        <x:v>Dockerfile + app + README.</x:v>
      </x:c>
      <x:c r="H8" s="64" t="str">
        <x:v>docker-lab</x:v>
      </x:c>
      <x:c r="I8" s="64" t="str">
        <x:v>90 min</x:v>
      </x:c>
      <x:c r="J8" s="64" t="str"/>
      <x:c r="K8" s="96"/>
      <x:c r="L8" s="96"/>
      <x:c r="M8" s="65" t="str"/>
    </x:row>
    <x:row r="9">
      <x:c r="A9" s="63" t="str">
        <x:v>DOC-05</x:v>
      </x:c>
      <x:c r="B9" s="64" t="str">
        <x:v>Not Started</x:v>
      </x:c>
      <x:c r="C9" s="64" t="str">
        <x:v>Medium</x:v>
      </x:c>
      <x:c r="D9" s="64" t="str">
        <x:v>Core</x:v>
      </x:c>
      <x:c r="E9" s="64" t="str">
        <x:v>Build context</x:v>
      </x:c>
      <x:c r="F9" s="64" t="str">
        <x:v>Demonstrate why .dockerignore matters.</x:v>
      </x:c>
      <x:c r="G9" s="64" t="str">
        <x:v>Before/after build context comparison.</x:v>
      </x:c>
      <x:c r="H9" s="64" t="str">
        <x:v>docker-lab</x:v>
      </x:c>
      <x:c r="I9" s="64" t="str">
        <x:v>45 min</x:v>
      </x:c>
      <x:c r="J9" s="64" t="str"/>
      <x:c r="K9" s="96"/>
      <x:c r="L9" s="96"/>
      <x:c r="M9" s="65" t="str"/>
    </x:row>
    <x:row r="10">
      <x:c r="A10" s="63" t="str">
        <x:v>DOC-06</x:v>
      </x:c>
      <x:c r="B10" s="64" t="str">
        <x:v>Not Started</x:v>
      </x:c>
      <x:c r="C10" s="64" t="str">
        <x:v>Medium</x:v>
      </x:c>
      <x:c r="D10" s="64" t="str">
        <x:v>Interview</x:v>
      </x:c>
      <x:c r="E10" s="64" t="str">
        <x:v>Layers</x:v>
      </x:c>
      <x:c r="F10" s="64" t="str">
        <x:v>Reorder Dockerfile instructions to improve cache reuse.</x:v>
      </x:c>
      <x:c r="G10" s="64" t="str">
        <x:v>Optimized Dockerfile + explanation.</x:v>
      </x:c>
      <x:c r="H10" s="64" t="str">
        <x:v>docker-lab</x:v>
      </x:c>
      <x:c r="I10" s="64" t="str">
        <x:v>60 min</x:v>
      </x:c>
      <x:c r="J10" s="64" t="str"/>
      <x:c r="K10" s="96"/>
      <x:c r="L10" s="96"/>
      <x:c r="M10" s="65" t="str"/>
    </x:row>
    <x:row r="11">
      <x:c r="A11" s="63" t="str">
        <x:v>DOC-07</x:v>
      </x:c>
      <x:c r="B11" s="64" t="str">
        <x:v>Not Started</x:v>
      </x:c>
      <x:c r="C11" s="64" t="str">
        <x:v>Hard</x:v>
      </x:c>
      <x:c r="D11" s="64" t="str">
        <x:v>Must Know</x:v>
      </x:c>
      <x:c r="E11" s="64" t="str">
        <x:v>Multi-stage</x:v>
      </x:c>
      <x:c r="F11" s="64" t="str">
        <x:v>Create a multi-stage build and compare final image size.</x:v>
      </x:c>
      <x:c r="G11" s="64" t="str">
        <x:v>Two Dockerfiles + size report.</x:v>
      </x:c>
      <x:c r="H11" s="64" t="str">
        <x:v>docker-lab</x:v>
      </x:c>
      <x:c r="I11" s="64" t="str">
        <x:v>90 min</x:v>
      </x:c>
      <x:c r="J11" s="64" t="str"/>
      <x:c r="K11" s="96"/>
      <x:c r="L11" s="96"/>
      <x:c r="M11" s="65" t="str"/>
    </x:row>
    <x:row r="12">
      <x:c r="A12" s="63" t="str">
        <x:v>DOC-08</x:v>
      </x:c>
      <x:c r="B12" s="64" t="str">
        <x:v>Not Started</x:v>
      </x:c>
      <x:c r="C12" s="64" t="str">
        <x:v>Medium</x:v>
      </x:c>
      <x:c r="D12" s="64" t="str">
        <x:v>Security</x:v>
      </x:c>
      <x:c r="E12" s="64" t="str">
        <x:v>User</x:v>
      </x:c>
      <x:c r="F12" s="64" t="str">
        <x:v>Run the application as a non-root user.</x:v>
      </x:c>
      <x:c r="G12" s="64" t="str">
        <x:v>Secure Dockerfile + verification.</x:v>
      </x:c>
      <x:c r="H12" s="64" t="str">
        <x:v>docker-lab</x:v>
      </x:c>
      <x:c r="I12" s="64" t="str">
        <x:v>60 min</x:v>
      </x:c>
      <x:c r="J12" s="64" t="str"/>
      <x:c r="K12" s="96"/>
      <x:c r="L12" s="96"/>
      <x:c r="M12" s="65" t="str"/>
    </x:row>
    <x:row r="13">
      <x:c r="A13" s="63" t="str">
        <x:v>DOC-09</x:v>
      </x:c>
      <x:c r="B13" s="64" t="str">
        <x:v>Not Started</x:v>
      </x:c>
      <x:c r="C13" s="64" t="str">
        <x:v>Medium</x:v>
      </x:c>
      <x:c r="D13" s="64" t="str">
        <x:v>Must Know</x:v>
      </x:c>
      <x:c r="E13" s="64" t="str">
        <x:v>Healthcheck</x:v>
      </x:c>
      <x:c r="F13" s="64" t="str">
        <x:v>Add a functional HEALTHCHECK and observe status transitions.</x:v>
      </x:c>
      <x:c r="G13" s="64" t="str">
        <x:v>Dockerfile + failure simulation.</x:v>
      </x:c>
      <x:c r="H13" s="64" t="str">
        <x:v>docker-lab</x:v>
      </x:c>
      <x:c r="I13" s="64" t="str">
        <x:v>60 min</x:v>
      </x:c>
      <x:c r="J13" s="64" t="str"/>
      <x:c r="K13" s="96"/>
      <x:c r="L13" s="96"/>
      <x:c r="M13" s="65" t="str"/>
    </x:row>
    <x:row r="14">
      <x:c r="A14" s="63" t="str">
        <x:v>DOC-10</x:v>
      </x:c>
      <x:c r="B14" s="64" t="str">
        <x:v>Not Started</x:v>
      </x:c>
      <x:c r="C14" s="64" t="str">
        <x:v>Medium</x:v>
      </x:c>
      <x:c r="D14" s="64" t="str">
        <x:v>Must Know</x:v>
      </x:c>
      <x:c r="E14" s="64" t="str">
        <x:v>Environment</x:v>
      </x:c>
      <x:c r="F14" s="64" t="str">
        <x:v>Pass configuration through environment variables without baking secrets into the image.</x:v>
      </x:c>
      <x:c r="G14" s="64" t="str">
        <x:v>Configuration demo.</x:v>
      </x:c>
      <x:c r="H14" s="64" t="str">
        <x:v>docker-lab</x:v>
      </x:c>
      <x:c r="I14" s="64" t="str">
        <x:v>45 min</x:v>
      </x:c>
      <x:c r="J14" s="64" t="str"/>
      <x:c r="K14" s="96"/>
      <x:c r="L14" s="96"/>
      <x:c r="M14" s="65" t="str"/>
    </x:row>
    <x:row r="15">
      <x:c r="A15" s="63" t="str">
        <x:v>DOC-11</x:v>
      </x:c>
      <x:c r="B15" s="64" t="str">
        <x:v>Not Started</x:v>
      </x:c>
      <x:c r="C15" s="64" t="str">
        <x:v>Medium</x:v>
      </x:c>
      <x:c r="D15" s="64" t="str">
        <x:v>Must Know</x:v>
      </x:c>
      <x:c r="E15" s="64" t="str">
        <x:v>Volumes</x:v>
      </x:c>
      <x:c r="F15" s="64" t="str">
        <x:v>Compare named volumes and bind mounts.</x:v>
      </x:c>
      <x:c r="G15" s="64" t="str">
        <x:v>volume-lab.md + compose file.</x:v>
      </x:c>
      <x:c r="H15" s="64" t="str">
        <x:v>docker-lab</x:v>
      </x:c>
      <x:c r="I15" s="64" t="str">
        <x:v>60 min</x:v>
      </x:c>
      <x:c r="J15" s="64" t="str"/>
      <x:c r="K15" s="96"/>
      <x:c r="L15" s="96"/>
      <x:c r="M15" s="65" t="str"/>
    </x:row>
    <x:row r="16">
      <x:c r="A16" s="63" t="str">
        <x:v>DOC-12</x:v>
      </x:c>
      <x:c r="B16" s="64" t="str">
        <x:v>Not Started</x:v>
      </x:c>
      <x:c r="C16" s="64" t="str">
        <x:v>Medium</x:v>
      </x:c>
      <x:c r="D16" s="64" t="str">
        <x:v>Must Know</x:v>
      </x:c>
      <x:c r="E16" s="64" t="str">
        <x:v>Networks</x:v>
      </x:c>
      <x:c r="F16" s="64" t="str">
        <x:v>Create two containers on a user-defined bridge network and test DNS-based discovery.</x:v>
      </x:c>
      <x:c r="G16" s="64" t="str">
        <x:v>network-lab.sh.</x:v>
      </x:c>
      <x:c r="H16" s="64" t="str">
        <x:v>docker-lab</x:v>
      </x:c>
      <x:c r="I16" s="64" t="str">
        <x:v>60 min</x:v>
      </x:c>
      <x:c r="J16" s="64" t="str"/>
      <x:c r="K16" s="96"/>
      <x:c r="L16" s="96"/>
      <x:c r="M16" s="65" t="str"/>
    </x:row>
    <x:row r="17">
      <x:c r="A17" s="63" t="str">
        <x:v>DOC-13</x:v>
      </x:c>
      <x:c r="B17" s="64" t="str">
        <x:v>Not Started</x:v>
      </x:c>
      <x:c r="C17" s="64" t="str">
        <x:v>Medium</x:v>
      </x:c>
      <x:c r="D17" s="64" t="str">
        <x:v>Must Know</x:v>
      </x:c>
      <x:c r="E17" s="64" t="str">
        <x:v>Compose</x:v>
      </x:c>
      <x:c r="F17" s="64" t="str">
        <x:v>Run app + database with Docker Compose.</x:v>
      </x:c>
      <x:c r="G17" s="64" t="str">
        <x:v>compose.yaml + README.</x:v>
      </x:c>
      <x:c r="H17" s="64" t="str">
        <x:v>docker-lab</x:v>
      </x:c>
      <x:c r="I17" s="64" t="str">
        <x:v>90 min</x:v>
      </x:c>
      <x:c r="J17" s="64" t="str"/>
      <x:c r="K17" s="96"/>
      <x:c r="L17" s="96"/>
      <x:c r="M17" s="65" t="str"/>
    </x:row>
    <x:row r="18">
      <x:c r="A18" s="63" t="str">
        <x:v>DOC-14</x:v>
      </x:c>
      <x:c r="B18" s="64" t="str">
        <x:v>Not Started</x:v>
      </x:c>
      <x:c r="C18" s="64" t="str">
        <x:v>Hard</x:v>
      </x:c>
      <x:c r="D18" s="64" t="str">
        <x:v>Interview</x:v>
      </x:c>
      <x:c r="E18" s="64" t="str">
        <x:v>Compose health</x:v>
      </x:c>
      <x:c r="F18" s="64" t="str">
        <x:v>Use healthchecks and depends_on conditions in Compose.</x:v>
      </x:c>
      <x:c r="G18" s="64" t="str">
        <x:v>Reliable startup lab.</x:v>
      </x:c>
      <x:c r="H18" s="64" t="str">
        <x:v>docker-lab</x:v>
      </x:c>
      <x:c r="I18" s="64" t="str">
        <x:v>90 min</x:v>
      </x:c>
      <x:c r="J18" s="64" t="str"/>
      <x:c r="K18" s="96"/>
      <x:c r="L18" s="96"/>
      <x:c r="M18" s="65" t="str"/>
    </x:row>
    <x:row r="19">
      <x:c r="A19" s="63" t="str">
        <x:v>DOC-15</x:v>
      </x:c>
      <x:c r="B19" s="64" t="str">
        <x:v>Not Started</x:v>
      </x:c>
      <x:c r="C19" s="64" t="str">
        <x:v>Hard</x:v>
      </x:c>
      <x:c r="D19" s="64" t="str">
        <x:v>SRE</x:v>
      </x:c>
      <x:c r="E19" s="64" t="str">
        <x:v>Resource limits</x:v>
      </x:c>
      <x:c r="F19" s="64" t="str">
        <x:v>Apply CPU and memory limits and observe container behavior.</x:v>
      </x:c>
      <x:c r="G19" s="64" t="str">
        <x:v>resource-limits.md.</x:v>
      </x:c>
      <x:c r="H19" s="64" t="str">
        <x:v>docker-lab</x:v>
      </x:c>
      <x:c r="I19" s="64" t="str">
        <x:v>75 min</x:v>
      </x:c>
      <x:c r="J19" s="64" t="str"/>
      <x:c r="K19" s="96"/>
      <x:c r="L19" s="96"/>
      <x:c r="M19" s="65" t="str"/>
    </x:row>
    <x:row r="20">
      <x:c r="A20" s="63" t="str">
        <x:v>DOC-16</x:v>
      </x:c>
      <x:c r="B20" s="64" t="str">
        <x:v>Not Started</x:v>
      </x:c>
      <x:c r="C20" s="64" t="str">
        <x:v>Hard</x:v>
      </x:c>
      <x:c r="D20" s="64" t="str">
        <x:v>Interview</x:v>
      </x:c>
      <x:c r="E20" s="64" t="str">
        <x:v>Signals</x:v>
      </x:c>
      <x:c r="F20" s="64" t="str">
        <x:v>Verify graceful shutdown and PID 1 behavior.</x:v>
      </x:c>
      <x:c r="G20" s="64" t="str">
        <x:v>signal-handling lab.</x:v>
      </x:c>
      <x:c r="H20" s="64" t="str">
        <x:v>docker-lab</x:v>
      </x:c>
      <x:c r="I20" s="64" t="str">
        <x:v>75 min</x:v>
      </x:c>
      <x:c r="J20" s="64" t="str"/>
      <x:c r="K20" s="96"/>
      <x:c r="L20" s="96"/>
      <x:c r="M20" s="65" t="str"/>
    </x:row>
    <x:row r="21">
      <x:c r="A21" s="63" t="str">
        <x:v>DOC-17</x:v>
      </x:c>
      <x:c r="B21" s="64" t="str">
        <x:v>Not Started</x:v>
      </x:c>
      <x:c r="C21" s="64" t="str">
        <x:v>Hard</x:v>
      </x:c>
      <x:c r="D21" s="64" t="str">
        <x:v>Security</x:v>
      </x:c>
      <x:c r="E21" s="64" t="str">
        <x:v>Security</x:v>
      </x:c>
      <x:c r="F21" s="64" t="str">
        <x:v>Scan an image and document remediation of findings.</x:v>
      </x:c>
      <x:c r="G21" s="64" t="str">
        <x:v>security-report.md.</x:v>
      </x:c>
      <x:c r="H21" s="64" t="str">
        <x:v>docker-lab</x:v>
      </x:c>
      <x:c r="I21" s="64" t="str">
        <x:v>90 min</x:v>
      </x:c>
      <x:c r="J21" s="64" t="str"/>
      <x:c r="K21" s="96"/>
      <x:c r="L21" s="96"/>
      <x:c r="M21" s="65" t="str"/>
    </x:row>
    <x:row r="22">
      <x:c r="A22" s="63" t="str">
        <x:v>DOC-18</x:v>
      </x:c>
      <x:c r="B22" s="64" t="str">
        <x:v>Not Started</x:v>
      </x:c>
      <x:c r="C22" s="64" t="str">
        <x:v>Medium</x:v>
      </x:c>
      <x:c r="D22" s="64" t="str">
        <x:v>Portfolio</x:v>
      </x:c>
      <x:c r="E22" s="64" t="str">
        <x:v>Registry</x:v>
      </x:c>
      <x:c r="F22" s="64" t="str">
        <x:v>Tag and push an image to a registry such as GHCR.</x:v>
      </x:c>
      <x:c r="G22" s="64" t="str">
        <x:v>Published image + instructions.</x:v>
      </x:c>
      <x:c r="H22" s="64" t="str">
        <x:v>docker-lab</x:v>
      </x:c>
      <x:c r="I22" s="64" t="str">
        <x:v>60 min</x:v>
      </x:c>
      <x:c r="J22" s="64" t="str"/>
      <x:c r="K22" s="96"/>
      <x:c r="L22" s="96"/>
      <x:c r="M22" s="65" t="str"/>
    </x:row>
    <x:row r="23">
      <x:c r="A23" s="63" t="str">
        <x:v>DOC-19</x:v>
      </x:c>
      <x:c r="B23" s="64" t="str">
        <x:v>Not Started</x:v>
      </x:c>
      <x:c r="C23" s="64" t="str">
        <x:v>Hard</x:v>
      </x:c>
      <x:c r="D23" s="64" t="str">
        <x:v>Interview</x:v>
      </x:c>
      <x:c r="E23" s="64" t="str">
        <x:v>Broken image</x:v>
      </x:c>
      <x:c r="F23" s="64" t="str">
        <x:v>Fix a deliberately broken Dockerfile with missing files, wrong ports and bad commands.</x:v>
      </x:c>
      <x:c r="G23" s="64" t="str">
        <x:v>broken-dockerfile RCA.</x:v>
      </x:c>
      <x:c r="H23" s="64" t="str">
        <x:v>docker-lab</x:v>
      </x:c>
      <x:c r="I23" s="64" t="str">
        <x:v>90 min</x:v>
      </x:c>
      <x:c r="J23" s="64" t="str"/>
      <x:c r="K23" s="96"/>
      <x:c r="L23" s="96"/>
      <x:c r="M23" s="65" t="str"/>
    </x:row>
    <x:row r="24">
      <x:c r="A24" s="66" t="str">
        <x:v>DOC-20</x:v>
      </x:c>
      <x:c r="B24" s="67" t="str">
        <x:v>Not Started</x:v>
      </x:c>
      <x:c r="C24" s="67" t="str">
        <x:v>Hard</x:v>
      </x:c>
      <x:c r="D24" s="67" t="str">
        <x:v>Portfolio</x:v>
      </x:c>
      <x:c r="E24" s="67" t="str">
        <x:v>Project</x:v>
      </x:c>
      <x:c r="F24" s="67" t="str">
        <x:v>Build a production-style containerized app with multi-stage build, non-root user, healthcheck and Compose.</x:v>
      </x:c>
      <x:c r="G24" s="67" t="str">
        <x:v>Complete repository and architecture diagram.</x:v>
      </x:c>
      <x:c r="H24" s="67" t="str">
        <x:v>docker-lab</x:v>
      </x:c>
      <x:c r="I24" s="67" t="str">
        <x:v>240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15" priority="1">
      <x:formula>B5="Done"</x:formula>
    </x:cfRule>
    <x:cfRule type="expression" dxfId="16" priority="2">
      <x:formula>B5="In Progress"</x:formula>
    </x:cfRule>
    <x:cfRule type="expression" dxfId="17" priority="3">
      <x:formula>B5="Blocked"</x:formula>
    </x:cfRule>
  </x:conditionalFormatting>
  <x:conditionalFormatting sqref="C5:C24">
    <x:cfRule type="expression" dxfId="18" priority="4">
      <x:formula>C5="Hard"</x:formula>
    </x:cfRule>
    <x:cfRule type="expression" dxfId="19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7c327e39cb4c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Networking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NET-01</x:v>
      </x:c>
      <x:c r="B5" s="61" t="str">
        <x:v>Not Started</x:v>
      </x:c>
      <x:c r="C5" s="61" t="str">
        <x:v>Easy</x:v>
      </x:c>
      <x:c r="D5" s="61" t="str">
        <x:v>Core</x:v>
      </x:c>
      <x:c r="E5" s="61" t="str">
        <x:v>Models</x:v>
      </x:c>
      <x:c r="F5" s="61" t="str">
        <x:v>Map common protocols to OSI and TCP/IP layers.</x:v>
      </x:c>
      <x:c r="G5" s="61" t="str">
        <x:v>networking-models.md.</x:v>
      </x:c>
      <x:c r="H5" s="61" t="str">
        <x:v>networking-lab</x:v>
      </x:c>
      <x:c r="I5" s="61" t="str">
        <x:v>45 min</x:v>
      </x:c>
      <x:c r="J5" s="61" t="str"/>
      <x:c r="K5" s="95"/>
      <x:c r="L5" s="95"/>
      <x:c r="M5" s="62" t="str"/>
    </x:row>
    <x:row r="6">
      <x:c r="A6" s="63" t="str">
        <x:v>NET-02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IP</x:v>
      </x:c>
      <x:c r="F6" s="64" t="str">
        <x:v>Explain public, private, loopback and link-local addresses.</x:v>
      </x:c>
      <x:c r="G6" s="64" t="str">
        <x:v>ip-addresses.md.</x:v>
      </x:c>
      <x:c r="H6" s="64" t="str">
        <x:v>networking-lab</x:v>
      </x:c>
      <x:c r="I6" s="64" t="str">
        <x:v>30 min</x:v>
      </x:c>
      <x:c r="J6" s="64" t="str"/>
      <x:c r="K6" s="96"/>
      <x:c r="L6" s="96"/>
      <x:c r="M6" s="65" t="str"/>
    </x:row>
    <x:row r="7">
      <x:c r="A7" s="63" t="str">
        <x:v>NET-03</x:v>
      </x:c>
      <x:c r="B7" s="64" t="str">
        <x:v>Not Started</x:v>
      </x:c>
      <x:c r="C7" s="64" t="str">
        <x:v>Medium</x:v>
      </x:c>
      <x:c r="D7" s="64" t="str">
        <x:v>Must Know</x:v>
      </x:c>
      <x:c r="E7" s="64" t="str">
        <x:v>CIDR</x:v>
      </x:c>
      <x:c r="F7" s="64" t="str">
        <x:v>Calculate network, broadcast and usable address ranges for ten CIDR examples.</x:v>
      </x:c>
      <x:c r="G7" s="64" t="str">
        <x:v>cidr-exercises.md.</x:v>
      </x:c>
      <x:c r="H7" s="64" t="str">
        <x:v>networking-lab</x:v>
      </x:c>
      <x:c r="I7" s="64" t="str">
        <x:v>75 min</x:v>
      </x:c>
      <x:c r="J7" s="64" t="str"/>
      <x:c r="K7" s="96"/>
      <x:c r="L7" s="96"/>
      <x:c r="M7" s="65" t="str"/>
    </x:row>
    <x:row r="8">
      <x:c r="A8" s="63" t="str">
        <x:v>NET-04</x:v>
      </x:c>
      <x:c r="B8" s="64" t="str">
        <x:v>Not Started</x:v>
      </x:c>
      <x:c r="C8" s="64" t="str">
        <x:v>Medium</x:v>
      </x:c>
      <x:c r="D8" s="64" t="str">
        <x:v>Must Know</x:v>
      </x:c>
      <x:c r="E8" s="64" t="str">
        <x:v>Routing</x:v>
      </x:c>
      <x:c r="F8" s="64" t="str">
        <x:v>Inspect the routing table and explain the default gateway.</x:v>
      </x:c>
      <x:c r="G8" s="64" t="str">
        <x:v>routing-lab.md.</x:v>
      </x:c>
      <x:c r="H8" s="64" t="str">
        <x:v>networking-lab</x:v>
      </x:c>
      <x:c r="I8" s="64" t="str">
        <x:v>45 min</x:v>
      </x:c>
      <x:c r="J8" s="64" t="str"/>
      <x:c r="K8" s="96"/>
      <x:c r="L8" s="96"/>
      <x:c r="M8" s="65" t="str"/>
    </x:row>
    <x:row r="9">
      <x:c r="A9" s="63" t="str">
        <x:v>NET-05</x:v>
      </x:c>
      <x:c r="B9" s="64" t="str">
        <x:v>Not Started</x:v>
      </x:c>
      <x:c r="C9" s="64" t="str">
        <x:v>Medium</x:v>
      </x:c>
      <x:c r="D9" s="64" t="str">
        <x:v>Core</x:v>
      </x:c>
      <x:c r="E9" s="64" t="str">
        <x:v>ARP</x:v>
      </x:c>
      <x:c r="F9" s="64" t="str">
        <x:v>Inspect ARP/neighbour cache and explain local delivery.</x:v>
      </x:c>
      <x:c r="G9" s="64" t="str">
        <x:v>arp-lab.md.</x:v>
      </x:c>
      <x:c r="H9" s="64" t="str">
        <x:v>networking-lab</x:v>
      </x:c>
      <x:c r="I9" s="64" t="str">
        <x:v>45 min</x:v>
      </x:c>
      <x:c r="J9" s="64" t="str"/>
      <x:c r="K9" s="96"/>
      <x:c r="L9" s="96"/>
      <x:c r="M9" s="65" t="str"/>
    </x:row>
    <x:row r="10">
      <x:c r="A10" s="63" t="str">
        <x:v>NET-06</x:v>
      </x:c>
      <x:c r="B10" s="64" t="str">
        <x:v>Not Started</x:v>
      </x:c>
      <x:c r="C10" s="64" t="str">
        <x:v>Medium</x:v>
      </x:c>
      <x:c r="D10" s="64" t="str">
        <x:v>Must Know</x:v>
      </x:c>
      <x:c r="E10" s="64" t="str">
        <x:v>DNS</x:v>
      </x:c>
      <x:c r="F10" s="64" t="str">
        <x:v>Use dig and resolvectl/nslookup to trace name resolution.</x:v>
      </x:c>
      <x:c r="G10" s="64" t="str">
        <x:v>dns-investigation.md.</x:v>
      </x:c>
      <x:c r="H10" s="64" t="str">
        <x:v>networking-lab</x:v>
      </x:c>
      <x:c r="I10" s="64" t="str">
        <x:v>60 min</x:v>
      </x:c>
      <x:c r="J10" s="64" t="str"/>
      <x:c r="K10" s="96"/>
      <x:c r="L10" s="96"/>
      <x:c r="M10" s="65" t="str"/>
    </x:row>
    <x:row r="11">
      <x:c r="A11" s="63" t="str">
        <x:v>NET-07</x:v>
      </x:c>
      <x:c r="B11" s="64" t="str">
        <x:v>Not Started</x:v>
      </x:c>
      <x:c r="C11" s="64" t="str">
        <x:v>Hard</x:v>
      </x:c>
      <x:c r="D11" s="64" t="str">
        <x:v>Interview</x:v>
      </x:c>
      <x:c r="E11" s="64" t="str">
        <x:v>DNS failure</x:v>
      </x:c>
      <x:c r="F11" s="64" t="str">
        <x:v>Simulate an incorrect DNS entry and troubleshoot it.</x:v>
      </x:c>
      <x:c r="G11" s="64" t="str">
        <x:v>dns-incident runbook.</x:v>
      </x:c>
      <x:c r="H11" s="64" t="str">
        <x:v>networking-lab</x:v>
      </x:c>
      <x:c r="I11" s="64" t="str">
        <x:v>75 min</x:v>
      </x:c>
      <x:c r="J11" s="64" t="str"/>
      <x:c r="K11" s="96"/>
      <x:c r="L11" s="96"/>
      <x:c r="M11" s="65" t="str"/>
    </x:row>
    <x:row r="12">
      <x:c r="A12" s="63" t="str">
        <x:v>NET-08</x:v>
      </x:c>
      <x:c r="B12" s="64" t="str">
        <x:v>Not Started</x:v>
      </x:c>
      <x:c r="C12" s="64" t="str">
        <x:v>Medium</x:v>
      </x:c>
      <x:c r="D12" s="64" t="str">
        <x:v>Must Know</x:v>
      </x:c>
      <x:c r="E12" s="64" t="str">
        <x:v>TCP</x:v>
      </x:c>
      <x:c r="F12" s="64" t="str">
        <x:v>Explain and capture a TCP three-way handshake.</x:v>
      </x:c>
      <x:c r="G12" s="64" t="str">
        <x:v>tcp-handshake.md + packet capture notes.</x:v>
      </x:c>
      <x:c r="H12" s="64" t="str">
        <x:v>networking-lab</x:v>
      </x:c>
      <x:c r="I12" s="64" t="str">
        <x:v>75 min</x:v>
      </x:c>
      <x:c r="J12" s="64" t="str"/>
      <x:c r="K12" s="96"/>
      <x:c r="L12" s="96"/>
      <x:c r="M12" s="65" t="str"/>
    </x:row>
    <x:row r="13">
      <x:c r="A13" s="63" t="str">
        <x:v>NET-09</x:v>
      </x:c>
      <x:c r="B13" s="64" t="str">
        <x:v>Not Started</x:v>
      </x:c>
      <x:c r="C13" s="64" t="str">
        <x:v>Medium</x:v>
      </x:c>
      <x:c r="D13" s="64" t="str">
        <x:v>Core</x:v>
      </x:c>
      <x:c r="E13" s="64" t="str">
        <x:v>UDP</x:v>
      </x:c>
      <x:c r="F13" s="64" t="str">
        <x:v>Compare TCP and UDP with practical tests.</x:v>
      </x:c>
      <x:c r="G13" s="64" t="str">
        <x:v>tcp-vs-udp.md.</x:v>
      </x:c>
      <x:c r="H13" s="64" t="str">
        <x:v>networking-lab</x:v>
      </x:c>
      <x:c r="I13" s="64" t="str">
        <x:v>60 min</x:v>
      </x:c>
      <x:c r="J13" s="64" t="str"/>
      <x:c r="K13" s="96"/>
      <x:c r="L13" s="96"/>
      <x:c r="M13" s="65" t="str"/>
    </x:row>
    <x:row r="14">
      <x:c r="A14" s="63" t="str">
        <x:v>NET-10</x:v>
      </x:c>
      <x:c r="B14" s="64" t="str">
        <x:v>Not Started</x:v>
      </x:c>
      <x:c r="C14" s="64" t="str">
        <x:v>Easy</x:v>
      </x:c>
      <x:c r="D14" s="64" t="str">
        <x:v>Must Know</x:v>
      </x:c>
      <x:c r="E14" s="64" t="str">
        <x:v>Ports</x:v>
      </x:c>
      <x:c r="F14" s="64" t="str">
        <x:v>Identify listening and established sockets with ss.</x:v>
      </x:c>
      <x:c r="G14" s="64" t="str">
        <x:v>socket-report.sh.</x:v>
      </x:c>
      <x:c r="H14" s="64" t="str">
        <x:v>networking-lab</x:v>
      </x:c>
      <x:c r="I14" s="64" t="str">
        <x:v>45 min</x:v>
      </x:c>
      <x:c r="J14" s="64" t="str"/>
      <x:c r="K14" s="96"/>
      <x:c r="L14" s="96"/>
      <x:c r="M14" s="65" t="str"/>
    </x:row>
    <x:row r="15">
      <x:c r="A15" s="63" t="str">
        <x:v>NET-11</x:v>
      </x:c>
      <x:c r="B15" s="64" t="str">
        <x:v>Not Started</x:v>
      </x:c>
      <x:c r="C15" s="64" t="str">
        <x:v>Easy</x:v>
      </x:c>
      <x:c r="D15" s="64" t="str">
        <x:v>Must Know</x:v>
      </x:c>
      <x:c r="E15" s="64" t="str">
        <x:v>HTTP</x:v>
      </x:c>
      <x:c r="F15" s="64" t="str">
        <x:v>Use curl verbose mode to inspect headers, redirects and status codes.</x:v>
      </x:c>
      <x:c r="G15" s="64" t="str">
        <x:v>http-debugging.md.</x:v>
      </x:c>
      <x:c r="H15" s="64" t="str">
        <x:v>networking-lab</x:v>
      </x:c>
      <x:c r="I15" s="64" t="str">
        <x:v>45 min</x:v>
      </x:c>
      <x:c r="J15" s="64" t="str"/>
      <x:c r="K15" s="96"/>
      <x:c r="L15" s="96"/>
      <x:c r="M15" s="65" t="str"/>
    </x:row>
    <x:row r="16">
      <x:c r="A16" s="63" t="str">
        <x:v>NET-12</x:v>
      </x:c>
      <x:c r="B16" s="64" t="str">
        <x:v>Not Started</x:v>
      </x:c>
      <x:c r="C16" s="64" t="str">
        <x:v>Medium</x:v>
      </x:c>
      <x:c r="D16" s="64" t="str">
        <x:v>Must Know</x:v>
      </x:c>
      <x:c r="E16" s="64" t="str">
        <x:v>HTTPS</x:v>
      </x:c>
      <x:c r="F16" s="64" t="str">
        <x:v>Inspect a TLS certificate and handshake with openssl s_client.</x:v>
      </x:c>
      <x:c r="G16" s="64" t="str">
        <x:v>tls-investigation.md.</x:v>
      </x:c>
      <x:c r="H16" s="64" t="str">
        <x:v>networking-lab</x:v>
      </x:c>
      <x:c r="I16" s="64" t="str">
        <x:v>60 min</x:v>
      </x:c>
      <x:c r="J16" s="64" t="str"/>
      <x:c r="K16" s="96"/>
      <x:c r="L16" s="96"/>
      <x:c r="M16" s="65" t="str"/>
    </x:row>
    <x:row r="17">
      <x:c r="A17" s="63" t="str">
        <x:v>NET-13</x:v>
      </x:c>
      <x:c r="B17" s="64" t="str">
        <x:v>Not Started</x:v>
      </x:c>
      <x:c r="C17" s="64" t="str">
        <x:v>Hard</x:v>
      </x:c>
      <x:c r="D17" s="64" t="str">
        <x:v>Core</x:v>
      </x:c>
      <x:c r="E17" s="64" t="str">
        <x:v>NAT</x:v>
      </x:c>
      <x:c r="F17" s="64" t="str">
        <x:v>Explain source NAT and port mapping using a Docker example.</x:v>
      </x:c>
      <x:c r="G17" s="64" t="str">
        <x:v>nat-with-docker.md.</x:v>
      </x:c>
      <x:c r="H17" s="64" t="str">
        <x:v>networking-lab</x:v>
      </x:c>
      <x:c r="I17" s="64" t="str">
        <x:v>75 min</x:v>
      </x:c>
      <x:c r="J17" s="64" t="str"/>
      <x:c r="K17" s="96"/>
      <x:c r="L17" s="96"/>
      <x:c r="M17" s="65" t="str"/>
    </x:row>
    <x:row r="18">
      <x:c r="A18" s="63" t="str">
        <x:v>NET-14</x:v>
      </x:c>
      <x:c r="B18" s="64" t="str">
        <x:v>Not Started</x:v>
      </x:c>
      <x:c r="C18" s="64" t="str">
        <x:v>Hard</x:v>
      </x:c>
      <x:c r="D18" s="64" t="str">
        <x:v>Security</x:v>
      </x:c>
      <x:c r="E18" s="64" t="str">
        <x:v>Firewall</x:v>
      </x:c>
      <x:c r="F18" s="64" t="str">
        <x:v>Create a safe local firewall rule and verify allowed/denied traffic.</x:v>
      </x:c>
      <x:c r="G18" s="64" t="str">
        <x:v>firewall-lab.md.</x:v>
      </x:c>
      <x:c r="H18" s="64" t="str">
        <x:v>networking-lab</x:v>
      </x:c>
      <x:c r="I18" s="64" t="str">
        <x:v>90 min</x:v>
      </x:c>
      <x:c r="J18" s="64" t="str"/>
      <x:c r="K18" s="96"/>
      <x:c r="L18" s="96"/>
      <x:c r="M18" s="65" t="str"/>
    </x:row>
    <x:row r="19">
      <x:c r="A19" s="63" t="str">
        <x:v>NET-15</x:v>
      </x:c>
      <x:c r="B19" s="64" t="str">
        <x:v>Not Started</x:v>
      </x:c>
      <x:c r="C19" s="64" t="str">
        <x:v>Medium</x:v>
      </x:c>
      <x:c r="D19" s="64" t="str">
        <x:v>Must Know</x:v>
      </x:c>
      <x:c r="E19" s="64" t="str">
        <x:v>Proxy</x:v>
      </x:c>
      <x:c r="F19" s="64" t="str">
        <x:v>Configure nginx as a reverse proxy to an application.</x:v>
      </x:c>
      <x:c r="G19" s="64" t="str">
        <x:v>nginx config + diagram.</x:v>
      </x:c>
      <x:c r="H19" s="64" t="str">
        <x:v>networking-lab</x:v>
      </x:c>
      <x:c r="I19" s="64" t="str">
        <x:v>90 min</x:v>
      </x:c>
      <x:c r="J19" s="64" t="str"/>
      <x:c r="K19" s="96"/>
      <x:c r="L19" s="96"/>
      <x:c r="M19" s="65" t="str"/>
    </x:row>
    <x:row r="20">
      <x:c r="A20" s="63" t="str">
        <x:v>NET-16</x:v>
      </x:c>
      <x:c r="B20" s="64" t="str">
        <x:v>Not Started</x:v>
      </x:c>
      <x:c r="C20" s="64" t="str">
        <x:v>Hard</x:v>
      </x:c>
      <x:c r="D20" s="64" t="str">
        <x:v>Portfolio</x:v>
      </x:c>
      <x:c r="E20" s="64" t="str">
        <x:v>Load balancing</x:v>
      </x:c>
      <x:c r="F20" s="64" t="str">
        <x:v>Configure nginx to balance requests across two containers.</x:v>
      </x:c>
      <x:c r="G20" s="64" t="str">
        <x:v>load-balancer lab.</x:v>
      </x:c>
      <x:c r="H20" s="64" t="str">
        <x:v>networking-lab</x:v>
      </x:c>
      <x:c r="I20" s="64" t="str">
        <x:v>120 min</x:v>
      </x:c>
      <x:c r="J20" s="64" t="str"/>
      <x:c r="K20" s="96"/>
      <x:c r="L20" s="96"/>
      <x:c r="M20" s="65" t="str"/>
    </x:row>
    <x:row r="21">
      <x:c r="A21" s="63" t="str">
        <x:v>NET-17</x:v>
      </x:c>
      <x:c r="B21" s="64" t="str">
        <x:v>Not Started</x:v>
      </x:c>
      <x:c r="C21" s="64" t="str">
        <x:v>Hard</x:v>
      </x:c>
      <x:c r="D21" s="64" t="str">
        <x:v>Interview</x:v>
      </x:c>
      <x:c r="E21" s="64" t="str">
        <x:v>Packet capture</x:v>
      </x:c>
      <x:c r="F21" s="64" t="str">
        <x:v>Use tcpdump to diagnose a failed connection.</x:v>
      </x:c>
      <x:c r="G21" s="64" t="str">
        <x:v>packet-capture RCA.</x:v>
      </x:c>
      <x:c r="H21" s="64" t="str">
        <x:v>networking-lab</x:v>
      </x:c>
      <x:c r="I21" s="64" t="str">
        <x:v>90 min</x:v>
      </x:c>
      <x:c r="J21" s="64" t="str"/>
      <x:c r="K21" s="96"/>
      <x:c r="L21" s="96"/>
      <x:c r="M21" s="65" t="str"/>
    </x:row>
    <x:row r="22">
      <x:c r="A22" s="63" t="str">
        <x:v>NET-18</x:v>
      </x:c>
      <x:c r="B22" s="64" t="str">
        <x:v>Not Started</x:v>
      </x:c>
      <x:c r="C22" s="64" t="str">
        <x:v>Hard</x:v>
      </x:c>
      <x:c r="D22" s="64" t="str">
        <x:v>Advanced</x:v>
      </x:c>
      <x:c r="E22" s="64" t="str">
        <x:v>MTU</x:v>
      </x:c>
      <x:c r="F22" s="64" t="str">
        <x:v>Reproduce or explain an MTU-related issue and diagnostic commands.</x:v>
      </x:c>
      <x:c r="G22" s="64" t="str">
        <x:v>mtu-troubleshooting.md.</x:v>
      </x:c>
      <x:c r="H22" s="64" t="str">
        <x:v>networking-lab</x:v>
      </x:c>
      <x:c r="I22" s="64" t="str">
        <x:v>75 min</x:v>
      </x:c>
      <x:c r="J22" s="64" t="str"/>
      <x:c r="K22" s="96"/>
      <x:c r="L22" s="96"/>
      <x:c r="M22" s="65" t="str"/>
    </x:row>
    <x:row r="23">
      <x:c r="A23" s="63" t="str">
        <x:v>NET-19</x:v>
      </x:c>
      <x:c r="B23" s="64" t="str">
        <x:v>Not Started</x:v>
      </x:c>
      <x:c r="C23" s="64" t="str">
        <x:v>Hard</x:v>
      </x:c>
      <x:c r="D23" s="64" t="str">
        <x:v>Must Know</x:v>
      </x:c>
      <x:c r="E23" s="64" t="str">
        <x:v>Kubernetes</x:v>
      </x:c>
      <x:c r="F23" s="64" t="str">
        <x:v>Trace traffic from client to Ingress, Service and Pod.</x:v>
      </x:c>
      <x:c r="G23" s="64" t="str">
        <x:v>k8s-network-flow.md.</x:v>
      </x:c>
      <x:c r="H23" s="64" t="str">
        <x:v>networking-lab</x:v>
      </x:c>
      <x:c r="I23" s="64" t="str">
        <x:v>90 min</x:v>
      </x:c>
      <x:c r="J23" s="64" t="str"/>
      <x:c r="K23" s="96"/>
      <x:c r="L23" s="96"/>
      <x:c r="M23" s="65" t="str"/>
    </x:row>
    <x:row r="24">
      <x:c r="A24" s="66" t="str">
        <x:v>NET-20</x:v>
      </x:c>
      <x:c r="B24" s="67" t="str">
        <x:v>Not Started</x:v>
      </x:c>
      <x:c r="C24" s="67" t="str">
        <x:v>Hard</x:v>
      </x:c>
      <x:c r="D24" s="67" t="str">
        <x:v>Interview</x:v>
      </x:c>
      <x:c r="E24" s="67" t="str">
        <x:v>Incident</x:v>
      </x:c>
      <x:c r="F24" s="67" t="str">
        <x:v>Diagnose: application works on localhost but is unreachable remotely.</x:v>
      </x:c>
      <x:c r="G24" s="67" t="str">
        <x:v>end-to-end network runbook.</x:v>
      </x:c>
      <x:c r="H24" s="67" t="str">
        <x:v>sre-runbooks</x:v>
      </x:c>
      <x:c r="I24" s="67" t="str">
        <x:v>120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20" priority="1">
      <x:formula>B5="Done"</x:formula>
    </x:cfRule>
    <x:cfRule type="expression" dxfId="21" priority="2">
      <x:formula>B5="In Progress"</x:formula>
    </x:cfRule>
    <x:cfRule type="expression" dxfId="22" priority="3">
      <x:formula>B5="Blocked"</x:formula>
    </x:cfRule>
  </x:conditionalFormatting>
  <x:conditionalFormatting sqref="C5:C24">
    <x:cfRule type="expression" dxfId="23" priority="4">
      <x:formula>C5="Hard"</x:formula>
    </x:cfRule>
    <x:cfRule type="expression" dxfId="24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656180d0d9406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Kubernetes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KUB-01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Architecture</x:v>
      </x:c>
      <x:c r="F5" s="61" t="str">
        <x:v>Draw and explain API server, etcd, scheduler, controller manager, kubelet and runtime.</x:v>
      </x:c>
      <x:c r="G5" s="61" t="str">
        <x:v>kubernetes-architecture.md.</x:v>
      </x:c>
      <x:c r="H5" s="61" t="str">
        <x:v>kubernetes-lab</x:v>
      </x:c>
      <x:c r="I5" s="61" t="str">
        <x:v>60 min</x:v>
      </x:c>
      <x:c r="J5" s="61" t="str"/>
      <x:c r="K5" s="95"/>
      <x:c r="L5" s="95"/>
      <x:c r="M5" s="62" t="str"/>
    </x:row>
    <x:row r="6">
      <x:c r="A6" s="63" t="str">
        <x:v>KUB-02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kubectl</x:v>
      </x:c>
      <x:c r="F6" s="64" t="str">
        <x:v>Create a kubectl command cheat sheet for get, describe, logs, exec and events.</x:v>
      </x:c>
      <x:c r="G6" s="64" t="str">
        <x:v>kubectl-cheatsheet.md.</x:v>
      </x:c>
      <x:c r="H6" s="64" t="str">
        <x:v>kubernetes-lab</x:v>
      </x:c>
      <x:c r="I6" s="64" t="str">
        <x:v>45 min</x:v>
      </x:c>
      <x:c r="J6" s="64" t="str"/>
      <x:c r="K6" s="96"/>
      <x:c r="L6" s="96"/>
      <x:c r="M6" s="65" t="str"/>
    </x:row>
    <x:row r="7">
      <x:c r="A7" s="63" t="str">
        <x:v>KUB-03</x:v>
      </x:c>
      <x:c r="B7" s="64" t="str">
        <x:v>Not Started</x:v>
      </x:c>
      <x:c r="C7" s="64" t="str">
        <x:v>Easy</x:v>
      </x:c>
      <x:c r="D7" s="64" t="str">
        <x:v>Must Know</x:v>
      </x:c>
      <x:c r="E7" s="64" t="str">
        <x:v>Pod</x:v>
      </x:c>
      <x:c r="F7" s="64" t="str">
        <x:v>Run a Pod and inspect its spec, status and events.</x:v>
      </x:c>
      <x:c r="G7" s="64" t="str">
        <x:v>pod-lab.yaml + notes.</x:v>
      </x:c>
      <x:c r="H7" s="64" t="str">
        <x:v>kubernetes-lab</x:v>
      </x:c>
      <x:c r="I7" s="64" t="str">
        <x:v>45 min</x:v>
      </x:c>
      <x:c r="J7" s="64" t="str"/>
      <x:c r="K7" s="96"/>
      <x:c r="L7" s="96"/>
      <x:c r="M7" s="65" t="str"/>
    </x:row>
    <x:row r="8">
      <x:c r="A8" s="63" t="str">
        <x:v>KUB-04</x:v>
      </x:c>
      <x:c r="B8" s="64" t="str">
        <x:v>Not Started</x:v>
      </x:c>
      <x:c r="C8" s="64" t="str">
        <x:v>Easy</x:v>
      </x:c>
      <x:c r="D8" s="64" t="str">
        <x:v>Must Know</x:v>
      </x:c>
      <x:c r="E8" s="64" t="str">
        <x:v>Deployment</x:v>
      </x:c>
      <x:c r="F8" s="64" t="str">
        <x:v>Deploy an application with three replicas.</x:v>
      </x:c>
      <x:c r="G8" s="64" t="str">
        <x:v>deployment.yaml + verification.</x:v>
      </x:c>
      <x:c r="H8" s="64" t="str">
        <x:v>kubernetes-lab</x:v>
      </x:c>
      <x:c r="I8" s="64" t="str">
        <x:v>60 min</x:v>
      </x:c>
      <x:c r="J8" s="64" t="str"/>
      <x:c r="K8" s="96"/>
      <x:c r="L8" s="96"/>
      <x:c r="M8" s="65" t="str"/>
    </x:row>
    <x:row r="9">
      <x:c r="A9" s="63" t="str">
        <x:v>KUB-05</x:v>
      </x:c>
      <x:c r="B9" s="64" t="str">
        <x:v>Not Started</x:v>
      </x:c>
      <x:c r="C9" s="64" t="str">
        <x:v>Medium</x:v>
      </x:c>
      <x:c r="D9" s="64" t="str">
        <x:v>Must Know</x:v>
      </x:c>
      <x:c r="E9" s="64" t="str">
        <x:v>Rollout</x:v>
      </x:c>
      <x:c r="F9" s="64" t="str">
        <x:v>Perform rolling update, history inspection and rollback.</x:v>
      </x:c>
      <x:c r="G9" s="64" t="str">
        <x:v>rollout-lab.md.</x:v>
      </x:c>
      <x:c r="H9" s="64" t="str">
        <x:v>kubernetes-lab</x:v>
      </x:c>
      <x:c r="I9" s="64" t="str">
        <x:v>75 min</x:v>
      </x:c>
      <x:c r="J9" s="64" t="str"/>
      <x:c r="K9" s="96"/>
      <x:c r="L9" s="96"/>
      <x:c r="M9" s="65" t="str"/>
    </x:row>
    <x:row r="10">
      <x:c r="A10" s="63" t="str">
        <x:v>KUB-06</x:v>
      </x:c>
      <x:c r="B10" s="64" t="str">
        <x:v>Not Started</x:v>
      </x:c>
      <x:c r="C10" s="64" t="str">
        <x:v>Easy</x:v>
      </x:c>
      <x:c r="D10" s="64" t="str">
        <x:v>Must Know</x:v>
      </x:c>
      <x:c r="E10" s="64" t="str">
        <x:v>Service</x:v>
      </x:c>
      <x:c r="F10" s="64" t="str">
        <x:v>Expose Pods using ClusterIP and explain stable service discovery.</x:v>
      </x:c>
      <x:c r="G10" s="64" t="str">
        <x:v>service.yaml + network tests.</x:v>
      </x:c>
      <x:c r="H10" s="64" t="str">
        <x:v>kubernetes-lab</x:v>
      </x:c>
      <x:c r="I10" s="64" t="str">
        <x:v>60 min</x:v>
      </x:c>
      <x:c r="J10" s="64" t="str"/>
      <x:c r="K10" s="96"/>
      <x:c r="L10" s="96"/>
      <x:c r="M10" s="65" t="str"/>
    </x:row>
    <x:row r="11">
      <x:c r="A11" s="63" t="str">
        <x:v>KUB-07</x:v>
      </x:c>
      <x:c r="B11" s="64" t="str">
        <x:v>Not Started</x:v>
      </x:c>
      <x:c r="C11" s="64" t="str">
        <x:v>Medium</x:v>
      </x:c>
      <x:c r="D11" s="64" t="str">
        <x:v>Core</x:v>
      </x:c>
      <x:c r="E11" s="64" t="str">
        <x:v>NodePort</x:v>
      </x:c>
      <x:c r="F11" s="64" t="str">
        <x:v>Expose a test app via NodePort and explain limitations.</x:v>
      </x:c>
      <x:c r="G11" s="64" t="str">
        <x:v>nodeport-lab.md.</x:v>
      </x:c>
      <x:c r="H11" s="64" t="str">
        <x:v>kubernetes-lab</x:v>
      </x:c>
      <x:c r="I11" s="64" t="str">
        <x:v>45 min</x:v>
      </x:c>
      <x:c r="J11" s="64" t="str"/>
      <x:c r="K11" s="96"/>
      <x:c r="L11" s="96"/>
      <x:c r="M11" s="65" t="str"/>
    </x:row>
    <x:row r="12">
      <x:c r="A12" s="63" t="str">
        <x:v>KUB-08</x:v>
      </x:c>
      <x:c r="B12" s="64" t="str">
        <x:v>Not Started</x:v>
      </x:c>
      <x:c r="C12" s="64" t="str">
        <x:v>Medium</x:v>
      </x:c>
      <x:c r="D12" s="64" t="str">
        <x:v>Must Know</x:v>
      </x:c>
      <x:c r="E12" s="64" t="str">
        <x:v>Ingress</x:v>
      </x:c>
      <x:c r="F12" s="64" t="str">
        <x:v>Configure an Ingress route to the application.</x:v>
      </x:c>
      <x:c r="G12" s="64" t="str">
        <x:v>ingress.yaml + diagram.</x:v>
      </x:c>
      <x:c r="H12" s="64" t="str">
        <x:v>kubernetes-lab</x:v>
      </x:c>
      <x:c r="I12" s="64" t="str">
        <x:v>90 min</x:v>
      </x:c>
      <x:c r="J12" s="64" t="str"/>
      <x:c r="K12" s="96"/>
      <x:c r="L12" s="96"/>
      <x:c r="M12" s="65" t="str"/>
    </x:row>
    <x:row r="13">
      <x:c r="A13" s="63" t="str">
        <x:v>KUB-09</x:v>
      </x:c>
      <x:c r="B13" s="64" t="str">
        <x:v>Not Started</x:v>
      </x:c>
      <x:c r="C13" s="64" t="str">
        <x:v>Medium</x:v>
      </x:c>
      <x:c r="D13" s="64" t="str">
        <x:v>Must Know</x:v>
      </x:c>
      <x:c r="E13" s="64" t="str">
        <x:v>ConfigMap</x:v>
      </x:c>
      <x:c r="F13" s="64" t="str">
        <x:v>Inject configuration as environment variables and mounted files.</x:v>
      </x:c>
      <x:c r="G13" s="64" t="str">
        <x:v>configmap-lab.yaml.</x:v>
      </x:c>
      <x:c r="H13" s="64" t="str">
        <x:v>kubernetes-lab</x:v>
      </x:c>
      <x:c r="I13" s="64" t="str">
        <x:v>60 min</x:v>
      </x:c>
      <x:c r="J13" s="64" t="str"/>
      <x:c r="K13" s="96"/>
      <x:c r="L13" s="96"/>
      <x:c r="M13" s="65" t="str"/>
    </x:row>
    <x:row r="14">
      <x:c r="A14" s="63" t="str">
        <x:v>KUB-10</x:v>
      </x:c>
      <x:c r="B14" s="64" t="str">
        <x:v>Not Started</x:v>
      </x:c>
      <x:c r="C14" s="64" t="str">
        <x:v>Medium</x:v>
      </x:c>
      <x:c r="D14" s="64" t="str">
        <x:v>Must Know</x:v>
      </x:c>
      <x:c r="E14" s="64" t="str">
        <x:v>Secret</x:v>
      </x:c>
      <x:c r="F14" s="64" t="str">
        <x:v>Use a Secret safely and discuss base64 versus encryption.</x:v>
      </x:c>
      <x:c r="G14" s="64" t="str">
        <x:v>secret-lab.md.</x:v>
      </x:c>
      <x:c r="H14" s="64" t="str">
        <x:v>kubernetes-lab</x:v>
      </x:c>
      <x:c r="I14" s="64" t="str">
        <x:v>60 min</x:v>
      </x:c>
      <x:c r="J14" s="64" t="str"/>
      <x:c r="K14" s="96"/>
      <x:c r="L14" s="96"/>
      <x:c r="M14" s="65" t="str"/>
    </x:row>
    <x:row r="15">
      <x:c r="A15" s="63" t="str">
        <x:v>KUB-11</x:v>
      </x:c>
      <x:c r="B15" s="64" t="str">
        <x:v>Not Started</x:v>
      </x:c>
      <x:c r="C15" s="64" t="str">
        <x:v>Medium</x:v>
      </x:c>
      <x:c r="D15" s="64" t="str">
        <x:v>Must Know</x:v>
      </x:c>
      <x:c r="E15" s="64" t="str">
        <x:v>Probes</x:v>
      </x:c>
      <x:c r="F15" s="64" t="str">
        <x:v>Implement startup, readiness and liveness probes.</x:v>
      </x:c>
      <x:c r="G15" s="64" t="str">
        <x:v>probe-lab.yaml + failure tests.</x:v>
      </x:c>
      <x:c r="H15" s="64" t="str">
        <x:v>kubernetes-lab</x:v>
      </x:c>
      <x:c r="I15" s="64" t="str">
        <x:v>90 min</x:v>
      </x:c>
      <x:c r="J15" s="64" t="str"/>
      <x:c r="K15" s="96"/>
      <x:c r="L15" s="96"/>
      <x:c r="M15" s="65" t="str"/>
    </x:row>
    <x:row r="16">
      <x:c r="A16" s="63" t="str">
        <x:v>KUB-12</x:v>
      </x:c>
      <x:c r="B16" s="64" t="str">
        <x:v>Not Started</x:v>
      </x:c>
      <x:c r="C16" s="64" t="str">
        <x:v>Hard</x:v>
      </x:c>
      <x:c r="D16" s="64" t="str">
        <x:v>Must Know</x:v>
      </x:c>
      <x:c r="E16" s="64" t="str">
        <x:v>Resources</x:v>
      </x:c>
      <x:c r="F16" s="64" t="str">
        <x:v>Set requests and limits; observe scheduling and OOMKilled behavior.</x:v>
      </x:c>
      <x:c r="G16" s="64" t="str">
        <x:v>resources-lab.md.</x:v>
      </x:c>
      <x:c r="H16" s="64" t="str">
        <x:v>kubernetes-lab</x:v>
      </x:c>
      <x:c r="I16" s="64" t="str">
        <x:v>90 min</x:v>
      </x:c>
      <x:c r="J16" s="64" t="str"/>
      <x:c r="K16" s="96"/>
      <x:c r="L16" s="96"/>
      <x:c r="M16" s="65" t="str"/>
    </x:row>
    <x:row r="17">
      <x:c r="A17" s="63" t="str">
        <x:v>KUB-13</x:v>
      </x:c>
      <x:c r="B17" s="64" t="str">
        <x:v>Not Started</x:v>
      </x:c>
      <x:c r="C17" s="64" t="str">
        <x:v>Medium</x:v>
      </x:c>
      <x:c r="D17" s="64" t="str">
        <x:v>Core</x:v>
      </x:c>
      <x:c r="E17" s="64" t="str">
        <x:v>Jobs</x:v>
      </x:c>
      <x:c r="F17" s="64" t="str">
        <x:v>Create a Job and CronJob with logs and failure handling.</x:v>
      </x:c>
      <x:c r="G17" s="64" t="str">
        <x:v>jobs-lab.yaml.</x:v>
      </x:c>
      <x:c r="H17" s="64" t="str">
        <x:v>kubernetes-lab</x:v>
      </x:c>
      <x:c r="I17" s="64" t="str">
        <x:v>75 min</x:v>
      </x:c>
      <x:c r="J17" s="64" t="str"/>
      <x:c r="K17" s="96"/>
      <x:c r="L17" s="96"/>
      <x:c r="M17" s="65" t="str"/>
    </x:row>
    <x:row r="18">
      <x:c r="A18" s="63" t="str">
        <x:v>KUB-14</x:v>
      </x:c>
      <x:c r="B18" s="64" t="str">
        <x:v>Not Started</x:v>
      </x:c>
      <x:c r="C18" s="64" t="str">
        <x:v>Medium</x:v>
      </x:c>
      <x:c r="D18" s="64" t="str">
        <x:v>Must Know</x:v>
      </x:c>
      <x:c r="E18" s="64" t="str">
        <x:v>Storage</x:v>
      </x:c>
      <x:c r="F18" s="64" t="str">
        <x:v>Create a PVC and persist application data.</x:v>
      </x:c>
      <x:c r="G18" s="64" t="str">
        <x:v>pvc-lab.yaml.</x:v>
      </x:c>
      <x:c r="H18" s="64" t="str">
        <x:v>kubernetes-lab</x:v>
      </x:c>
      <x:c r="I18" s="64" t="str">
        <x:v>90 min</x:v>
      </x:c>
      <x:c r="J18" s="64" t="str"/>
      <x:c r="K18" s="96"/>
      <x:c r="L18" s="96"/>
      <x:c r="M18" s="65" t="str"/>
    </x:row>
    <x:row r="19">
      <x:c r="A19" s="63" t="str">
        <x:v>KUB-15</x:v>
      </x:c>
      <x:c r="B19" s="64" t="str">
        <x:v>Not Started</x:v>
      </x:c>
      <x:c r="C19" s="64" t="str">
        <x:v>Hard</x:v>
      </x:c>
      <x:c r="D19" s="64" t="str">
        <x:v>Core</x:v>
      </x:c>
      <x:c r="E19" s="64" t="str">
        <x:v>StatefulSet</x:v>
      </x:c>
      <x:c r="F19" s="64" t="str">
        <x:v>Deploy a stateful workload and explain stable identities.</x:v>
      </x:c>
      <x:c r="G19" s="64" t="str">
        <x:v>statefulset-lab.md.</x:v>
      </x:c>
      <x:c r="H19" s="64" t="str">
        <x:v>kubernetes-lab</x:v>
      </x:c>
      <x:c r="I19" s="64" t="str">
        <x:v>120 min</x:v>
      </x:c>
      <x:c r="J19" s="64" t="str"/>
      <x:c r="K19" s="96"/>
      <x:c r="L19" s="96"/>
      <x:c r="M19" s="65" t="str"/>
    </x:row>
    <x:row r="20">
      <x:c r="A20" s="63" t="str">
        <x:v>KUB-16</x:v>
      </x:c>
      <x:c r="B20" s="64" t="str">
        <x:v>Not Started</x:v>
      </x:c>
      <x:c r="C20" s="64" t="str">
        <x:v>Hard</x:v>
      </x:c>
      <x:c r="D20" s="64" t="str">
        <x:v>Security</x:v>
      </x:c>
      <x:c r="E20" s="64" t="str">
        <x:v>RBAC</x:v>
      </x:c>
      <x:c r="F20" s="64" t="str">
        <x:v>Create a ServiceAccount, Role and RoleBinding with least privilege.</x:v>
      </x:c>
      <x:c r="G20" s="64" t="str">
        <x:v>rbac-lab.yaml.</x:v>
      </x:c>
      <x:c r="H20" s="64" t="str">
        <x:v>kubernetes-lab</x:v>
      </x:c>
      <x:c r="I20" s="64" t="str">
        <x:v>120 min</x:v>
      </x:c>
      <x:c r="J20" s="64" t="str"/>
      <x:c r="K20" s="96"/>
      <x:c r="L20" s="96"/>
      <x:c r="M20" s="65" t="str"/>
    </x:row>
    <x:row r="21">
      <x:c r="A21" s="63" t="str">
        <x:v>KUB-17</x:v>
      </x:c>
      <x:c r="B21" s="64" t="str">
        <x:v>Not Started</x:v>
      </x:c>
      <x:c r="C21" s="64" t="str">
        <x:v>Hard</x:v>
      </x:c>
      <x:c r="D21" s="64" t="str">
        <x:v>Security</x:v>
      </x:c>
      <x:c r="E21" s="64" t="str">
        <x:v>NetworkPolicy</x:v>
      </x:c>
      <x:c r="F21" s="64" t="str">
        <x:v>Restrict Pod-to-Pod traffic and verify behavior.</x:v>
      </x:c>
      <x:c r="G21" s="64" t="str">
        <x:v>network-policy-lab.yaml.</x:v>
      </x:c>
      <x:c r="H21" s="64" t="str">
        <x:v>kubernetes-lab</x:v>
      </x:c>
      <x:c r="I21" s="64" t="str">
        <x:v>120 min</x:v>
      </x:c>
      <x:c r="J21" s="64" t="str"/>
      <x:c r="K21" s="96"/>
      <x:c r="L21" s="96"/>
      <x:c r="M21" s="65" t="str"/>
    </x:row>
    <x:row r="22">
      <x:c r="A22" s="63" t="str">
        <x:v>KUB-18</x:v>
      </x:c>
      <x:c r="B22" s="64" t="str">
        <x:v>Not Started</x:v>
      </x:c>
      <x:c r="C22" s="64" t="str">
        <x:v>Hard</x:v>
      </x:c>
      <x:c r="D22" s="64" t="str">
        <x:v>SRE</x:v>
      </x:c>
      <x:c r="E22" s="64" t="str">
        <x:v>HPA</x:v>
      </x:c>
      <x:c r="F22" s="64" t="str">
        <x:v>Configure Horizontal Pod Autoscaler and generate load.</x:v>
      </x:c>
      <x:c r="G22" s="64" t="str">
        <x:v>hpa-lab.md.</x:v>
      </x:c>
      <x:c r="H22" s="64" t="str">
        <x:v>kubernetes-lab</x:v>
      </x:c>
      <x:c r="I22" s="64" t="str">
        <x:v>120 min</x:v>
      </x:c>
      <x:c r="J22" s="64" t="str"/>
      <x:c r="K22" s="96"/>
      <x:c r="L22" s="96"/>
      <x:c r="M22" s="65" t="str"/>
    </x:row>
    <x:row r="23">
      <x:c r="A23" s="63" t="str">
        <x:v>KUB-19</x:v>
      </x:c>
      <x:c r="B23" s="64" t="str">
        <x:v>Not Started</x:v>
      </x:c>
      <x:c r="C23" s="64" t="str">
        <x:v>Hard</x:v>
      </x:c>
      <x:c r="D23" s="64" t="str">
        <x:v>Interview</x:v>
      </x:c>
      <x:c r="E23" s="64" t="str">
        <x:v>CrashLoopBackOff</x:v>
      </x:c>
      <x:c r="F23" s="64" t="str">
        <x:v>Diagnose and fix a failing container command or configuration.</x:v>
      </x:c>
      <x:c r="G23" s="64" t="str">
        <x:v>incident report + fixed manifests.</x:v>
      </x:c>
      <x:c r="H23" s="64" t="str">
        <x:v>sre-runbooks</x:v>
      </x:c>
      <x:c r="I23" s="64" t="str">
        <x:v>90 min</x:v>
      </x:c>
      <x:c r="J23" s="64" t="str"/>
      <x:c r="K23" s="96"/>
      <x:c r="L23" s="96"/>
      <x:c r="M23" s="65" t="str"/>
    </x:row>
    <x:row r="24">
      <x:c r="A24" s="63" t="str">
        <x:v>KUB-20</x:v>
      </x:c>
      <x:c r="B24" s="64" t="str">
        <x:v>Not Started</x:v>
      </x:c>
      <x:c r="C24" s="64" t="str">
        <x:v>Medium</x:v>
      </x:c>
      <x:c r="D24" s="64" t="str">
        <x:v>Interview</x:v>
      </x:c>
      <x:c r="E24" s="64" t="str">
        <x:v>ImagePullBackOff</x:v>
      </x:c>
      <x:c r="F24" s="64" t="str">
        <x:v>Diagnose wrong image tags and registry authentication.</x:v>
      </x:c>
      <x:c r="G24" s="64" t="str">
        <x:v>runbook + broken/fixed manifests.</x:v>
      </x:c>
      <x:c r="H24" s="64" t="str">
        <x:v>sre-runbooks</x:v>
      </x:c>
      <x:c r="I24" s="64" t="str">
        <x:v>75 min</x:v>
      </x:c>
      <x:c r="J24" s="64" t="str"/>
      <x:c r="K24" s="96"/>
      <x:c r="L24" s="96"/>
      <x:c r="M24" s="65" t="str"/>
    </x:row>
    <x:row r="25">
      <x:c r="A25" s="63" t="str">
        <x:v>KUB-21</x:v>
      </x:c>
      <x:c r="B25" s="64" t="str">
        <x:v>Not Started</x:v>
      </x:c>
      <x:c r="C25" s="64" t="str">
        <x:v>Hard</x:v>
      </x:c>
      <x:c r="D25" s="64" t="str">
        <x:v>Interview</x:v>
      </x:c>
      <x:c r="E25" s="64" t="str">
        <x:v>Pending</x:v>
      </x:c>
      <x:c r="F25" s="64" t="str">
        <x:v>Diagnose unschedulable Pods caused by resources or constraints.</x:v>
      </x:c>
      <x:c r="G25" s="64" t="str">
        <x:v>pending-pod runbook.</x:v>
      </x:c>
      <x:c r="H25" s="64" t="str">
        <x:v>sre-runbooks</x:v>
      </x:c>
      <x:c r="I25" s="64" t="str">
        <x:v>90 min</x:v>
      </x:c>
      <x:c r="J25" s="64" t="str"/>
      <x:c r="K25" s="96"/>
      <x:c r="L25" s="96"/>
      <x:c r="M25" s="65" t="str"/>
    </x:row>
    <x:row r="26">
      <x:c r="A26" s="63" t="str">
        <x:v>KUB-22</x:v>
      </x:c>
      <x:c r="B26" s="64" t="str">
        <x:v>Not Started</x:v>
      </x:c>
      <x:c r="C26" s="64" t="str">
        <x:v>Hard</x:v>
      </x:c>
      <x:c r="D26" s="64" t="str">
        <x:v>Interview</x:v>
      </x:c>
      <x:c r="E26" s="64" t="str">
        <x:v>Service 503</x:v>
      </x:c>
      <x:c r="F26" s="64" t="str">
        <x:v>Diagnose selector, readiness and endpoint problems.</x:v>
      </x:c>
      <x:c r="G26" s="64" t="str">
        <x:v>service-503 incident report.</x:v>
      </x:c>
      <x:c r="H26" s="64" t="str">
        <x:v>sre-runbooks</x:v>
      </x:c>
      <x:c r="I26" s="64" t="str">
        <x:v>120 min</x:v>
      </x:c>
      <x:c r="J26" s="64" t="str"/>
      <x:c r="K26" s="96"/>
      <x:c r="L26" s="96"/>
      <x:c r="M26" s="65" t="str"/>
    </x:row>
    <x:row r="27">
      <x:c r="A27" s="63" t="str">
        <x:v>KUB-23</x:v>
      </x:c>
      <x:c r="B27" s="64" t="str">
        <x:v>Not Started</x:v>
      </x:c>
      <x:c r="C27" s="64" t="str">
        <x:v>Hard</x:v>
      </x:c>
      <x:c r="D27" s="64" t="str">
        <x:v>Portfolio</x:v>
      </x:c>
      <x:c r="E27" s="64" t="str">
        <x:v>Helm</x:v>
      </x:c>
      <x:c r="F27" s="64" t="str">
        <x:v>Package the application into a Helm chart with configurable values.</x:v>
      </x:c>
      <x:c r="G27" s="64" t="str">
        <x:v>helm chart + README.</x:v>
      </x:c>
      <x:c r="H27" s="64" t="str">
        <x:v>kubernetes-lab</x:v>
      </x:c>
      <x:c r="I27" s="64" t="str">
        <x:v>180 min</x:v>
      </x:c>
      <x:c r="J27" s="64" t="str"/>
      <x:c r="K27" s="96"/>
      <x:c r="L27" s="96"/>
      <x:c r="M27" s="65" t="str"/>
    </x:row>
    <x:row r="28">
      <x:c r="A28" s="66" t="str">
        <x:v>KUB-24</x:v>
      </x:c>
      <x:c r="B28" s="67" t="str">
        <x:v>Not Started</x:v>
      </x:c>
      <x:c r="C28" s="67" t="str">
        <x:v>Hard</x:v>
      </x:c>
      <x:c r="D28" s="67" t="str">
        <x:v>Portfolio</x:v>
      </x:c>
      <x:c r="E28" s="67" t="str">
        <x:v>Project</x:v>
      </x:c>
      <x:c r="F28" s="67" t="str">
        <x:v>Deploy the complete monitored application stack with Ingress, probes, resources and persistent storage.</x:v>
      </x:c>
      <x:c r="G28" s="67" t="str">
        <x:v>Production-style GitHub repository.</x:v>
      </x:c>
      <x:c r="H28" s="67" t="str">
        <x:v>kubernetes-lab</x:v>
      </x:c>
      <x:c r="I28" s="67" t="str">
        <x:v>300 min</x:v>
      </x:c>
      <x:c r="J28" s="67" t="str"/>
      <x:c r="K28" s="97"/>
      <x:c r="L28" s="97"/>
      <x:c r="M28" s="68" t="str"/>
    </x:row>
  </x:sheetData>
  <x:mergeCells>
    <x:mergeCell ref="A1:M1"/>
    <x:mergeCell ref="A2:M2"/>
  </x:mergeCells>
  <x:conditionalFormatting sqref="B5:B28">
    <x:cfRule type="expression" dxfId="25" priority="1">
      <x:formula>B5="Done"</x:formula>
    </x:cfRule>
    <x:cfRule type="expression" dxfId="26" priority="2">
      <x:formula>B5="In Progress"</x:formula>
    </x:cfRule>
    <x:cfRule type="expression" dxfId="27" priority="3">
      <x:formula>B5="Blocked"</x:formula>
    </x:cfRule>
  </x:conditionalFormatting>
  <x:conditionalFormatting sqref="C5:C28">
    <x:cfRule type="expression" dxfId="28" priority="4">
      <x:formula>C5="Hard"</x:formula>
    </x:cfRule>
    <x:cfRule type="expression" dxfId="29" priority="5">
      <x:formula>C5="Interview"</x:formula>
    </x:cfRule>
  </x:conditionalFormatting>
  <x:dataValidations count="3">
    <x:dataValidation type="list" sqref="B5:B28">
      <x:formula1>"Not Started,In Progress,Blocked,Done"</x:formula1>
    </x:dataValidation>
    <x:dataValidation type="list" sqref="C5:C28">
      <x:formula1>"Easy,Medium,Hard,Interview"</x:formula1>
    </x:dataValidation>
    <x:dataValidation type="list" sqref="D5:D28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00e0962c7a4b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Prometheus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PRO-01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Concepts</x:v>
      </x:c>
      <x:c r="F5" s="61" t="str">
        <x:v>Explain pull model, targets, exporters, time series and labels.</x:v>
      </x:c>
      <x:c r="G5" s="61" t="str">
        <x:v>prometheus-concepts.md.</x:v>
      </x:c>
      <x:c r="H5" s="61" t="str">
        <x:v>observability-stack</x:v>
      </x:c>
      <x:c r="I5" s="61" t="str">
        <x:v>45 min</x:v>
      </x:c>
      <x:c r="J5" s="61" t="str"/>
      <x:c r="K5" s="95"/>
      <x:c r="L5" s="95"/>
      <x:c r="M5" s="62" t="str"/>
    </x:row>
    <x:row r="6">
      <x:c r="A6" s="63" t="str">
        <x:v>PRO-02</x:v>
      </x:c>
      <x:c r="B6" s="64" t="str">
        <x:v>Not Started</x:v>
      </x:c>
      <x:c r="C6" s="64" t="str">
        <x:v>Medium</x:v>
      </x:c>
      <x:c r="D6" s="64" t="str">
        <x:v>Must Know</x:v>
      </x:c>
      <x:c r="E6" s="64" t="str">
        <x:v>Metric types</x:v>
      </x:c>
      <x:c r="F6" s="64" t="str">
        <x:v>Create examples of counter, gauge, histogram and summary.</x:v>
      </x:c>
      <x:c r="G6" s="64" t="str">
        <x:v>metric-types.md + demo app.</x:v>
      </x:c>
      <x:c r="H6" s="64" t="str">
        <x:v>observability-stack</x:v>
      </x:c>
      <x:c r="I6" s="64" t="str">
        <x:v>75 min</x:v>
      </x:c>
      <x:c r="J6" s="64" t="str"/>
      <x:c r="K6" s="96"/>
      <x:c r="L6" s="96"/>
      <x:c r="M6" s="65" t="str"/>
    </x:row>
    <x:row r="7">
      <x:c r="A7" s="63" t="str">
        <x:v>PRO-03</x:v>
      </x:c>
      <x:c r="B7" s="64" t="str">
        <x:v>Not Started</x:v>
      </x:c>
      <x:c r="C7" s="64" t="str">
        <x:v>Easy</x:v>
      </x:c>
      <x:c r="D7" s="64" t="str">
        <x:v>Core</x:v>
      </x:c>
      <x:c r="E7" s="64" t="str">
        <x:v>Install</x:v>
      </x:c>
      <x:c r="F7" s="64" t="str">
        <x:v>Run Prometheus locally or in Kubernetes and inspect its UI.</x:v>
      </x:c>
      <x:c r="G7" s="64" t="str">
        <x:v>installation notes + screenshots.</x:v>
      </x:c>
      <x:c r="H7" s="64" t="str">
        <x:v>observability-stack</x:v>
      </x:c>
      <x:c r="I7" s="64" t="str">
        <x:v>60 min</x:v>
      </x:c>
      <x:c r="J7" s="64" t="str"/>
      <x:c r="K7" s="96"/>
      <x:c r="L7" s="96"/>
      <x:c r="M7" s="65" t="str"/>
    </x:row>
    <x:row r="8">
      <x:c r="A8" s="63" t="str">
        <x:v>PRO-04</x:v>
      </x:c>
      <x:c r="B8" s="64" t="str">
        <x:v>Not Started</x:v>
      </x:c>
      <x:c r="C8" s="64" t="str">
        <x:v>Medium</x:v>
      </x:c>
      <x:c r="D8" s="64" t="str">
        <x:v>Must Know</x:v>
      </x:c>
      <x:c r="E8" s="64" t="str">
        <x:v>Scrape config</x:v>
      </x:c>
      <x:c r="F8" s="64" t="str">
        <x:v>Add and verify a static scrape target.</x:v>
      </x:c>
      <x:c r="G8" s="64" t="str">
        <x:v>prometheus.yml + target evidence.</x:v>
      </x:c>
      <x:c r="H8" s="64" t="str">
        <x:v>observability-stack</x:v>
      </x:c>
      <x:c r="I8" s="64" t="str">
        <x:v>60 min</x:v>
      </x:c>
      <x:c r="J8" s="64" t="str"/>
      <x:c r="K8" s="96"/>
      <x:c r="L8" s="96"/>
      <x:c r="M8" s="65" t="str"/>
    </x:row>
    <x:row r="9">
      <x:c r="A9" s="63" t="str">
        <x:v>PRO-05</x:v>
      </x:c>
      <x:c r="B9" s="64" t="str">
        <x:v>Not Started</x:v>
      </x:c>
      <x:c r="C9" s="64" t="str">
        <x:v>Hard</x:v>
      </x:c>
      <x:c r="D9" s="64" t="str">
        <x:v>Portfolio</x:v>
      </x:c>
      <x:c r="E9" s="64" t="str">
        <x:v>Application metrics</x:v>
      </x:c>
      <x:c r="F9" s="64" t="str">
        <x:v>Expose HTTP request count, errors and latency from an app.</x:v>
      </x:c>
      <x:c r="G9" s="64" t="str">
        <x:v>Instrumented app + README.</x:v>
      </x:c>
      <x:c r="H9" s="64" t="str">
        <x:v>observability-stack</x:v>
      </x:c>
      <x:c r="I9" s="64" t="str">
        <x:v>150 min</x:v>
      </x:c>
      <x:c r="J9" s="64" t="str"/>
      <x:c r="K9" s="96"/>
      <x:c r="L9" s="96"/>
      <x:c r="M9" s="65" t="str"/>
    </x:row>
    <x:row r="10">
      <x:c r="A10" s="63" t="str">
        <x:v>PRO-06</x:v>
      </x:c>
      <x:c r="B10" s="64" t="str">
        <x:v>Not Started</x:v>
      </x:c>
      <x:c r="C10" s="64" t="str">
        <x:v>Medium</x:v>
      </x:c>
      <x:c r="D10" s="64" t="str">
        <x:v>Must Know</x:v>
      </x:c>
      <x:c r="E10" s="64" t="str">
        <x:v>PromQL basics</x:v>
      </x:c>
      <x:c r="F10" s="64" t="str">
        <x:v>Write queries for instant vectors, ranges, filters and aggregations.</x:v>
      </x:c>
      <x:c r="G10" s="64" t="str">
        <x:v>promql-basics.md.</x:v>
      </x:c>
      <x:c r="H10" s="64" t="str">
        <x:v>observability-stack</x:v>
      </x:c>
      <x:c r="I10" s="64" t="str">
        <x:v>90 min</x:v>
      </x:c>
      <x:c r="J10" s="64" t="str"/>
      <x:c r="K10" s="96"/>
      <x:c r="L10" s="96"/>
      <x:c r="M10" s="65" t="str"/>
    </x:row>
    <x:row r="11">
      <x:c r="A11" s="63" t="str">
        <x:v>PRO-07</x:v>
      </x:c>
      <x:c r="B11" s="64" t="str">
        <x:v>Not Started</x:v>
      </x:c>
      <x:c r="C11" s="64" t="str">
        <x:v>Hard</x:v>
      </x:c>
      <x:c r="D11" s="64" t="str">
        <x:v>Interview</x:v>
      </x:c>
      <x:c r="E11" s="64" t="str">
        <x:v>rate</x:v>
      </x:c>
      <x:c r="F11" s="64" t="str">
        <x:v>Compare rate, irate and increase on counters.</x:v>
      </x:c>
      <x:c r="G11" s="64" t="str">
        <x:v>promql-rate-lab.md.</x:v>
      </x:c>
      <x:c r="H11" s="64" t="str">
        <x:v>observability-stack</x:v>
      </x:c>
      <x:c r="I11" s="64" t="str">
        <x:v>75 min</x:v>
      </x:c>
      <x:c r="J11" s="64" t="str"/>
      <x:c r="K11" s="96"/>
      <x:c r="L11" s="96"/>
      <x:c r="M11" s="65" t="str"/>
    </x:row>
    <x:row r="12">
      <x:c r="A12" s="63" t="str">
        <x:v>PRO-08</x:v>
      </x:c>
      <x:c r="B12" s="64" t="str">
        <x:v>Not Started</x:v>
      </x:c>
      <x:c r="C12" s="64" t="str">
        <x:v>Medium</x:v>
      </x:c>
      <x:c r="D12" s="64" t="str">
        <x:v>Must Know</x:v>
      </x:c>
      <x:c r="E12" s="64" t="str">
        <x:v>Aggregation</x:v>
      </x:c>
      <x:c r="F12" s="64" t="str">
        <x:v>Use sum by, avg by, topk and count.</x:v>
      </x:c>
      <x:c r="G12" s="64" t="str">
        <x:v>aggregation-queries.md.</x:v>
      </x:c>
      <x:c r="H12" s="64" t="str">
        <x:v>observability-stack</x:v>
      </x:c>
      <x:c r="I12" s="64" t="str">
        <x:v>60 min</x:v>
      </x:c>
      <x:c r="J12" s="64" t="str"/>
      <x:c r="K12" s="96"/>
      <x:c r="L12" s="96"/>
      <x:c r="M12" s="65" t="str"/>
    </x:row>
    <x:row r="13">
      <x:c r="A13" s="63" t="str">
        <x:v>PRO-09</x:v>
      </x:c>
      <x:c r="B13" s="64" t="str">
        <x:v>Not Started</x:v>
      </x:c>
      <x:c r="C13" s="64" t="str">
        <x:v>Hard</x:v>
      </x:c>
      <x:c r="D13" s="64" t="str">
        <x:v>Must Know</x:v>
      </x:c>
      <x:c r="E13" s="64" t="str">
        <x:v>Latency</x:v>
      </x:c>
      <x:c r="F13" s="64" t="str">
        <x:v>Calculate histogram quantiles for p50, p95 and p99.</x:v>
      </x:c>
      <x:c r="G13" s="64" t="str">
        <x:v>latency-promql.md.</x:v>
      </x:c>
      <x:c r="H13" s="64" t="str">
        <x:v>observability-stack</x:v>
      </x:c>
      <x:c r="I13" s="64" t="str">
        <x:v>90 min</x:v>
      </x:c>
      <x:c r="J13" s="64" t="str"/>
      <x:c r="K13" s="96"/>
      <x:c r="L13" s="96"/>
      <x:c r="M13" s="65" t="str"/>
    </x:row>
    <x:row r="14">
      <x:c r="A14" s="63" t="str">
        <x:v>PRO-10</x:v>
      </x:c>
      <x:c r="B14" s="64" t="str">
        <x:v>Not Started</x:v>
      </x:c>
      <x:c r="C14" s="64" t="str">
        <x:v>Medium</x:v>
      </x:c>
      <x:c r="D14" s="64" t="str">
        <x:v>SRE</x:v>
      </x:c>
      <x:c r="E14" s="64" t="str">
        <x:v>Error rate</x:v>
      </x:c>
      <x:c r="F14" s="64" t="str">
        <x:v>Calculate HTTP 5xx error ratio.</x:v>
      </x:c>
      <x:c r="G14" s="64" t="str">
        <x:v>error-rate-query.md.</x:v>
      </x:c>
      <x:c r="H14" s="64" t="str">
        <x:v>observability-stack</x:v>
      </x:c>
      <x:c r="I14" s="64" t="str">
        <x:v>60 min</x:v>
      </x:c>
      <x:c r="J14" s="64" t="str"/>
      <x:c r="K14" s="96"/>
      <x:c r="L14" s="96"/>
      <x:c r="M14" s="65" t="str"/>
    </x:row>
    <x:row r="15">
      <x:c r="A15" s="63" t="str">
        <x:v>PRO-11</x:v>
      </x:c>
      <x:c r="B15" s="64" t="str">
        <x:v>Not Started</x:v>
      </x:c>
      <x:c r="C15" s="64" t="str">
        <x:v>Hard</x:v>
      </x:c>
      <x:c r="D15" s="64" t="str">
        <x:v>SRE</x:v>
      </x:c>
      <x:c r="E15" s="64" t="str">
        <x:v>Availability</x:v>
      </x:c>
      <x:c r="F15" s="64" t="str">
        <x:v>Create a basic availability SLI from successful requests.</x:v>
      </x:c>
      <x:c r="G15" s="64" t="str">
        <x:v>availability-sli.md.</x:v>
      </x:c>
      <x:c r="H15" s="64" t="str">
        <x:v>observability-stack</x:v>
      </x:c>
      <x:c r="I15" s="64" t="str">
        <x:v>75 min</x:v>
      </x:c>
      <x:c r="J15" s="64" t="str"/>
      <x:c r="K15" s="96"/>
      <x:c r="L15" s="96"/>
      <x:c r="M15" s="65" t="str"/>
    </x:row>
    <x:row r="16">
      <x:c r="A16" s="63" t="str">
        <x:v>PRO-12</x:v>
      </x:c>
      <x:c r="B16" s="64" t="str">
        <x:v>Not Started</x:v>
      </x:c>
      <x:c r="C16" s="64" t="str">
        <x:v>Hard</x:v>
      </x:c>
      <x:c r="D16" s="64" t="str">
        <x:v>Core</x:v>
      </x:c>
      <x:c r="E16" s="64" t="str">
        <x:v>Recording rules</x:v>
      </x:c>
      <x:c r="F16" s="64" t="str">
        <x:v>Create recording rules for common expensive queries.</x:v>
      </x:c>
      <x:c r="G16" s="64" t="str">
        <x:v>rules.yml + explanation.</x:v>
      </x:c>
      <x:c r="H16" s="64" t="str">
        <x:v>observability-stack</x:v>
      </x:c>
      <x:c r="I16" s="64" t="str">
        <x:v>90 min</x:v>
      </x:c>
      <x:c r="J16" s="64" t="str"/>
      <x:c r="K16" s="96"/>
      <x:c r="L16" s="96"/>
      <x:c r="M16" s="65" t="str"/>
    </x:row>
    <x:row r="17">
      <x:c r="A17" s="63" t="str">
        <x:v>PRO-13</x:v>
      </x:c>
      <x:c r="B17" s="64" t="str">
        <x:v>Not Started</x:v>
      </x:c>
      <x:c r="C17" s="64" t="str">
        <x:v>Medium</x:v>
      </x:c>
      <x:c r="D17" s="64" t="str">
        <x:v>Must Know</x:v>
      </x:c>
      <x:c r="E17" s="64" t="str">
        <x:v>Alert rules</x:v>
      </x:c>
      <x:c r="F17" s="64" t="str">
        <x:v>Create an alert for sustained high error rate.</x:v>
      </x:c>
      <x:c r="G17" s="64" t="str">
        <x:v>alert rule + test procedure.</x:v>
      </x:c>
      <x:c r="H17" s="64" t="str">
        <x:v>observability-stack</x:v>
      </x:c>
      <x:c r="I17" s="64" t="str">
        <x:v>75 min</x:v>
      </x:c>
      <x:c r="J17" s="64" t="str"/>
      <x:c r="K17" s="96"/>
      <x:c r="L17" s="96"/>
      <x:c r="M17" s="65" t="str"/>
    </x:row>
    <x:row r="18">
      <x:c r="A18" s="63" t="str">
        <x:v>PRO-14</x:v>
      </x:c>
      <x:c r="B18" s="64" t="str">
        <x:v>Not Started</x:v>
      </x:c>
      <x:c r="C18" s="64" t="str">
        <x:v>Hard</x:v>
      </x:c>
      <x:c r="D18" s="64" t="str">
        <x:v>SRE</x:v>
      </x:c>
      <x:c r="E18" s="64" t="str">
        <x:v>Alert quality</x:v>
      </x:c>
      <x:c r="F18" s="64" t="str">
        <x:v>Improve an alert to reduce noise using duration and meaningful labels.</x:v>
      </x:c>
      <x:c r="G18" s="64" t="str">
        <x:v>before/after alert review.</x:v>
      </x:c>
      <x:c r="H18" s="64" t="str">
        <x:v>observability-stack</x:v>
      </x:c>
      <x:c r="I18" s="64" t="str">
        <x:v>90 min</x:v>
      </x:c>
      <x:c r="J18" s="64" t="str"/>
      <x:c r="K18" s="96"/>
      <x:c r="L18" s="96"/>
      <x:c r="M18" s="65" t="str"/>
    </x:row>
    <x:row r="19">
      <x:c r="A19" s="63" t="str">
        <x:v>PRO-15</x:v>
      </x:c>
      <x:c r="B19" s="64" t="str">
        <x:v>Not Started</x:v>
      </x:c>
      <x:c r="C19" s="64" t="str">
        <x:v>Hard</x:v>
      </x:c>
      <x:c r="D19" s="64" t="str">
        <x:v>Core</x:v>
      </x:c>
      <x:c r="E19" s="64" t="str">
        <x:v>Service discovery</x:v>
      </x:c>
      <x:c r="F19" s="64" t="str">
        <x:v>Explain Kubernetes service discovery and relabeling.</x:v>
      </x:c>
      <x:c r="G19" s="64" t="str">
        <x:v>service-discovery.md.</x:v>
      </x:c>
      <x:c r="H19" s="64" t="str">
        <x:v>observability-stack</x:v>
      </x:c>
      <x:c r="I19" s="64" t="str">
        <x:v>90 min</x:v>
      </x:c>
      <x:c r="J19" s="64" t="str"/>
      <x:c r="K19" s="96"/>
      <x:c r="L19" s="96"/>
      <x:c r="M19" s="65" t="str"/>
    </x:row>
    <x:row r="20">
      <x:c r="A20" s="63" t="str">
        <x:v>PRO-16</x:v>
      </x:c>
      <x:c r="B20" s="64" t="str">
        <x:v>Not Started</x:v>
      </x:c>
      <x:c r="C20" s="64" t="str">
        <x:v>Medium</x:v>
      </x:c>
      <x:c r="D20" s="64" t="str">
        <x:v>Must Know</x:v>
      </x:c>
      <x:c r="E20" s="64" t="str">
        <x:v>Exporter</x:v>
      </x:c>
      <x:c r="F20" s="64" t="str">
        <x:v>Deploy node_exporter and query host metrics.</x:v>
      </x:c>
      <x:c r="G20" s="64" t="str">
        <x:v>exporter lab + queries.</x:v>
      </x:c>
      <x:c r="H20" s="64" t="str">
        <x:v>observability-stack</x:v>
      </x:c>
      <x:c r="I20" s="64" t="str">
        <x:v>90 min</x:v>
      </x:c>
      <x:c r="J20" s="64" t="str"/>
      <x:c r="K20" s="96"/>
      <x:c r="L20" s="96"/>
      <x:c r="M20" s="65" t="str"/>
    </x:row>
    <x:row r="21">
      <x:c r="A21" s="63" t="str">
        <x:v>PRO-17</x:v>
      </x:c>
      <x:c r="B21" s="64" t="str">
        <x:v>Not Started</x:v>
      </x:c>
      <x:c r="C21" s="64" t="str">
        <x:v>Hard</x:v>
      </x:c>
      <x:c r="D21" s="64" t="str">
        <x:v>Interview</x:v>
      </x:c>
      <x:c r="E21" s="64" t="str">
        <x:v>Target down</x:v>
      </x:c>
      <x:c r="F21" s="64" t="str">
        <x:v>Diagnose a DOWN target caused by network or configuration error.</x:v>
      </x:c>
      <x:c r="G21" s="64" t="str">
        <x:v>prometheus-target-down runbook.</x:v>
      </x:c>
      <x:c r="H21" s="64" t="str">
        <x:v>sre-runbooks</x:v>
      </x:c>
      <x:c r="I21" s="64" t="str">
        <x:v>90 min</x:v>
      </x:c>
      <x:c r="J21" s="64" t="str"/>
      <x:c r="K21" s="96"/>
      <x:c r="L21" s="96"/>
      <x:c r="M21" s="65" t="str"/>
    </x:row>
    <x:row r="22">
      <x:c r="A22" s="63" t="str">
        <x:v>PRO-18</x:v>
      </x:c>
      <x:c r="B22" s="64" t="str">
        <x:v>Not Started</x:v>
      </x:c>
      <x:c r="C22" s="64" t="str">
        <x:v>Hard</x:v>
      </x:c>
      <x:c r="D22" s="64" t="str">
        <x:v>Advanced</x:v>
      </x:c>
      <x:c r="E22" s="64" t="str">
        <x:v>Cardinality</x:v>
      </x:c>
      <x:c r="F22" s="64" t="str">
        <x:v>Create and then fix a high-cardinality metric design.</x:v>
      </x:c>
      <x:c r="G22" s="64" t="str">
        <x:v>cardinality-report.md.</x:v>
      </x:c>
      <x:c r="H22" s="64" t="str">
        <x:v>observability-stack</x:v>
      </x:c>
      <x:c r="I22" s="64" t="str">
        <x:v>90 min</x:v>
      </x:c>
      <x:c r="J22" s="64" t="str"/>
      <x:c r="K22" s="96"/>
      <x:c r="L22" s="96"/>
      <x:c r="M22" s="65" t="str"/>
    </x:row>
    <x:row r="23">
      <x:c r="A23" s="63" t="str">
        <x:v>PRO-19</x:v>
      </x:c>
      <x:c r="B23" s="64" t="str">
        <x:v>Not Started</x:v>
      </x:c>
      <x:c r="C23" s="64" t="str">
        <x:v>Medium</x:v>
      </x:c>
      <x:c r="D23" s="64" t="str">
        <x:v>Core</x:v>
      </x:c>
      <x:c r="E23" s="64" t="str">
        <x:v>Retention</x:v>
      </x:c>
      <x:c r="F23" s="64" t="str">
        <x:v>Explain retention and local storage considerations.</x:v>
      </x:c>
      <x:c r="G23" s="64" t="str">
        <x:v>storage-and-retention.md.</x:v>
      </x:c>
      <x:c r="H23" s="64" t="str">
        <x:v>observability-stack</x:v>
      </x:c>
      <x:c r="I23" s="64" t="str">
        <x:v>60 min</x:v>
      </x:c>
      <x:c r="J23" s="64" t="str"/>
      <x:c r="K23" s="96"/>
      <x:c r="L23" s="96"/>
      <x:c r="M23" s="65" t="str"/>
    </x:row>
    <x:row r="24">
      <x:c r="A24" s="66" t="str">
        <x:v>PRO-20</x:v>
      </x:c>
      <x:c r="B24" s="67" t="str">
        <x:v>Not Started</x:v>
      </x:c>
      <x:c r="C24" s="67" t="str">
        <x:v>Hard</x:v>
      </x:c>
      <x:c r="D24" s="67" t="str">
        <x:v>Portfolio</x:v>
      </x:c>
      <x:c r="E24" s="67" t="str">
        <x:v>Project</x:v>
      </x:c>
      <x:c r="F24" s="67" t="str">
        <x:v>Build a reusable Prometheus configuration with app metrics, node metrics, recording rules and alerts.</x:v>
      </x:c>
      <x:c r="G24" s="67" t="str">
        <x:v>Complete monitoring repository.</x:v>
      </x:c>
      <x:c r="H24" s="67" t="str">
        <x:v>observability-stack</x:v>
      </x:c>
      <x:c r="I24" s="67" t="str">
        <x:v>240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30" priority="1">
      <x:formula>B5="Done"</x:formula>
    </x:cfRule>
    <x:cfRule type="expression" dxfId="31" priority="2">
      <x:formula>B5="In Progress"</x:formula>
    </x:cfRule>
    <x:cfRule type="expression" dxfId="32" priority="3">
      <x:formula>B5="Blocked"</x:formula>
    </x:cfRule>
  </x:conditionalFormatting>
  <x:conditionalFormatting sqref="C5:C24">
    <x:cfRule type="expression" dxfId="33" priority="4">
      <x:formula>C5="Hard"</x:formula>
    </x:cfRule>
    <x:cfRule type="expression" dxfId="34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38ac751a46438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Grafana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GRA-01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Concepts</x:v>
      </x:c>
      <x:c r="F5" s="61" t="str">
        <x:v>Explain data source, dashboard, panel, query, transformation and alert.</x:v>
      </x:c>
      <x:c r="G5" s="61" t="str">
        <x:v>grafana-concepts.md.</x:v>
      </x:c>
      <x:c r="H5" s="61" t="str">
        <x:v>observability-stack</x:v>
      </x:c>
      <x:c r="I5" s="61" t="str">
        <x:v>45 min</x:v>
      </x:c>
      <x:c r="J5" s="61" t="str"/>
      <x:c r="K5" s="95"/>
      <x:c r="L5" s="95"/>
      <x:c r="M5" s="62" t="str"/>
    </x:row>
    <x:row r="6">
      <x:c r="A6" s="63" t="str">
        <x:v>GRA-02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Data source</x:v>
      </x:c>
      <x:c r="F6" s="64" t="str">
        <x:v>Connect Grafana to Prometheus and test connectivity.</x:v>
      </x:c>
      <x:c r="G6" s="64" t="str">
        <x:v>Provisioning/config + screenshots.</x:v>
      </x:c>
      <x:c r="H6" s="64" t="str">
        <x:v>observability-stack</x:v>
      </x:c>
      <x:c r="I6" s="64" t="str">
        <x:v>45 min</x:v>
      </x:c>
      <x:c r="J6" s="64" t="str"/>
      <x:c r="K6" s="96"/>
      <x:c r="L6" s="96"/>
      <x:c r="M6" s="65" t="str"/>
    </x:row>
    <x:row r="7">
      <x:c r="A7" s="63" t="str">
        <x:v>GRA-03</x:v>
      </x:c>
      <x:c r="B7" s="64" t="str">
        <x:v>Not Started</x:v>
      </x:c>
      <x:c r="C7" s="64" t="str">
        <x:v>Medium</x:v>
      </x:c>
      <x:c r="D7" s="64" t="str">
        <x:v>Portfolio</x:v>
      </x:c>
      <x:c r="E7" s="64" t="str">
        <x:v>Dashboard</x:v>
      </x:c>
      <x:c r="F7" s="64" t="str">
        <x:v>Build an application overview dashboard.</x:v>
      </x:c>
      <x:c r="G7" s="64" t="str">
        <x:v>Exported dashboard JSON.</x:v>
      </x:c>
      <x:c r="H7" s="64" t="str">
        <x:v>observability-stack</x:v>
      </x:c>
      <x:c r="I7" s="64" t="str">
        <x:v>120 min</x:v>
      </x:c>
      <x:c r="J7" s="64" t="str"/>
      <x:c r="K7" s="96"/>
      <x:c r="L7" s="96"/>
      <x:c r="M7" s="65" t="str"/>
    </x:row>
    <x:row r="8">
      <x:c r="A8" s="63" t="str">
        <x:v>GRA-04</x:v>
      </x:c>
      <x:c r="B8" s="64" t="str">
        <x:v>Not Started</x:v>
      </x:c>
      <x:c r="C8" s="64" t="str">
        <x:v>Hard</x:v>
      </x:c>
      <x:c r="D8" s="64" t="str">
        <x:v>Must Know</x:v>
      </x:c>
      <x:c r="E8" s="64" t="str">
        <x:v>Golden signals</x:v>
      </x:c>
      <x:c r="F8" s="64" t="str">
        <x:v>Visualize traffic, errors, latency and saturation.</x:v>
      </x:c>
      <x:c r="G8" s="64" t="str">
        <x:v>Golden Signals dashboard JSON.</x:v>
      </x:c>
      <x:c r="H8" s="64" t="str">
        <x:v>observability-stack</x:v>
      </x:c>
      <x:c r="I8" s="64" t="str">
        <x:v>150 min</x:v>
      </x:c>
      <x:c r="J8" s="64" t="str"/>
      <x:c r="K8" s="96"/>
      <x:c r="L8" s="96"/>
      <x:c r="M8" s="65" t="str"/>
    </x:row>
    <x:row r="9">
      <x:c r="A9" s="63" t="str">
        <x:v>GRA-05</x:v>
      </x:c>
      <x:c r="B9" s="64" t="str">
        <x:v>Not Started</x:v>
      </x:c>
      <x:c r="C9" s="64" t="str">
        <x:v>Medium</x:v>
      </x:c>
      <x:c r="D9" s="64" t="str">
        <x:v>Portfolio</x:v>
      </x:c>
      <x:c r="E9" s="64" t="str">
        <x:v>Linux dashboard</x:v>
      </x:c>
      <x:c r="F9" s="64" t="str">
        <x:v>Build CPU, memory, disk and network panels from node_exporter.</x:v>
      </x:c>
      <x:c r="G9" s="64" t="str">
        <x:v>Infrastructure dashboard JSON.</x:v>
      </x:c>
      <x:c r="H9" s="64" t="str">
        <x:v>observability-stack</x:v>
      </x:c>
      <x:c r="I9" s="64" t="str">
        <x:v>120 min</x:v>
      </x:c>
      <x:c r="J9" s="64" t="str"/>
      <x:c r="K9" s="96"/>
      <x:c r="L9" s="96"/>
      <x:c r="M9" s="65" t="str"/>
    </x:row>
    <x:row r="10">
      <x:c r="A10" s="63" t="str">
        <x:v>GRA-06</x:v>
      </x:c>
      <x:c r="B10" s="64" t="str">
        <x:v>Not Started</x:v>
      </x:c>
      <x:c r="C10" s="64" t="str">
        <x:v>Medium</x:v>
      </x:c>
      <x:c r="D10" s="64" t="str">
        <x:v>Core</x:v>
      </x:c>
      <x:c r="E10" s="64" t="str">
        <x:v>Variables</x:v>
      </x:c>
      <x:c r="F10" s="64" t="str">
        <x:v>Add environment, instance and endpoint variables.</x:v>
      </x:c>
      <x:c r="G10" s="64" t="str">
        <x:v>Variable-enabled dashboard.</x:v>
      </x:c>
      <x:c r="H10" s="64" t="str">
        <x:v>observability-stack</x:v>
      </x:c>
      <x:c r="I10" s="64" t="str">
        <x:v>75 min</x:v>
      </x:c>
      <x:c r="J10" s="64" t="str"/>
      <x:c r="K10" s="96"/>
      <x:c r="L10" s="96"/>
      <x:c r="M10" s="65" t="str"/>
    </x:row>
    <x:row r="11">
      <x:c r="A11" s="63" t="str">
        <x:v>GRA-07</x:v>
      </x:c>
      <x:c r="B11" s="64" t="str">
        <x:v>Not Started</x:v>
      </x:c>
      <x:c r="C11" s="64" t="str">
        <x:v>Hard</x:v>
      </x:c>
      <x:c r="D11" s="64" t="str">
        <x:v>Core</x:v>
      </x:c>
      <x:c r="E11" s="64" t="str">
        <x:v>Templating</x:v>
      </x:c>
      <x:c r="F11" s="64" t="str">
        <x:v>Use repeating panels or rows based on variables.</x:v>
      </x:c>
      <x:c r="G11" s="64" t="str">
        <x:v>Dynamic dashboard lab.</x:v>
      </x:c>
      <x:c r="H11" s="64" t="str">
        <x:v>observability-stack</x:v>
      </x:c>
      <x:c r="I11" s="64" t="str">
        <x:v>90 min</x:v>
      </x:c>
      <x:c r="J11" s="64" t="str"/>
      <x:c r="K11" s="96"/>
      <x:c r="L11" s="96"/>
      <x:c r="M11" s="65" t="str"/>
    </x:row>
    <x:row r="12">
      <x:c r="A12" s="63" t="str">
        <x:v>GRA-08</x:v>
      </x:c>
      <x:c r="B12" s="64" t="str">
        <x:v>Not Started</x:v>
      </x:c>
      <x:c r="C12" s="64" t="str">
        <x:v>Hard</x:v>
      </x:c>
      <x:c r="D12" s="64" t="str">
        <x:v>Interview</x:v>
      </x:c>
      <x:c r="E12" s="64" t="str">
        <x:v>Transformations</x:v>
      </x:c>
      <x:c r="F12" s="64" t="str">
        <x:v>Combine, rename and calculate fields using transformations.</x:v>
      </x:c>
      <x:c r="G12" s="64" t="str">
        <x:v>Transformation examples.</x:v>
      </x:c>
      <x:c r="H12" s="64" t="str">
        <x:v>observability-stack</x:v>
      </x:c>
      <x:c r="I12" s="64" t="str">
        <x:v>90 min</x:v>
      </x:c>
      <x:c r="J12" s="64" t="str"/>
      <x:c r="K12" s="96"/>
      <x:c r="L12" s="96"/>
      <x:c r="M12" s="65" t="str"/>
    </x:row>
    <x:row r="13">
      <x:c r="A13" s="63" t="str">
        <x:v>GRA-09</x:v>
      </x:c>
      <x:c r="B13" s="64" t="str">
        <x:v>Not Started</x:v>
      </x:c>
      <x:c r="C13" s="64" t="str">
        <x:v>Medium</x:v>
      </x:c>
      <x:c r="D13" s="64" t="str">
        <x:v>Must Know</x:v>
      </x:c>
      <x:c r="E13" s="64" t="str">
        <x:v>Thresholds</x:v>
      </x:c>
      <x:c r="F13" s="64" t="str">
        <x:v>Apply meaningful units, thresholds and value mappings.</x:v>
      </x:c>
      <x:c r="G13" s="64" t="str">
        <x:v>Before/after dashboard review.</x:v>
      </x:c>
      <x:c r="H13" s="64" t="str">
        <x:v>observability-stack</x:v>
      </x:c>
      <x:c r="I13" s="64" t="str">
        <x:v>60 min</x:v>
      </x:c>
      <x:c r="J13" s="64" t="str"/>
      <x:c r="K13" s="96"/>
      <x:c r="L13" s="96"/>
      <x:c r="M13" s="65" t="str"/>
    </x:row>
    <x:row r="14">
      <x:c r="A14" s="63" t="str">
        <x:v>GRA-10</x:v>
      </x:c>
      <x:c r="B14" s="64" t="str">
        <x:v>Not Started</x:v>
      </x:c>
      <x:c r="C14" s="64" t="str">
        <x:v>Medium</x:v>
      </x:c>
      <x:c r="D14" s="64" t="str">
        <x:v>SRE</x:v>
      </x:c>
      <x:c r="E14" s="64" t="str">
        <x:v>Annotations</x:v>
      </x:c>
      <x:c r="F14" s="64" t="str">
        <x:v>Add deployment annotations to correlate changes with incidents.</x:v>
      </x:c>
      <x:c r="G14" s="64" t="str">
        <x:v>Annotation demo.</x:v>
      </x:c>
      <x:c r="H14" s="64" t="str">
        <x:v>observability-stack</x:v>
      </x:c>
      <x:c r="I14" s="64" t="str">
        <x:v>60 min</x:v>
      </x:c>
      <x:c r="J14" s="64" t="str"/>
      <x:c r="K14" s="96"/>
      <x:c r="L14" s="96"/>
      <x:c r="M14" s="65" t="str"/>
    </x:row>
    <x:row r="15">
      <x:c r="A15" s="63" t="str">
        <x:v>GRA-11</x:v>
      </x:c>
      <x:c r="B15" s="64" t="str">
        <x:v>Not Started</x:v>
      </x:c>
      <x:c r="C15" s="64" t="str">
        <x:v>Hard</x:v>
      </x:c>
      <x:c r="D15" s="64" t="str">
        <x:v>Must Know</x:v>
      </x:c>
      <x:c r="E15" s="64" t="str">
        <x:v>Alerting</x:v>
      </x:c>
      <x:c r="F15" s="64" t="str">
        <x:v>Create a Grafana alert with contact point and notification policy.</x:v>
      </x:c>
      <x:c r="G15" s="64" t="str">
        <x:v>Alert configuration + test.</x:v>
      </x:c>
      <x:c r="H15" s="64" t="str">
        <x:v>observability-stack</x:v>
      </x:c>
      <x:c r="I15" s="64" t="str">
        <x:v>120 min</x:v>
      </x:c>
      <x:c r="J15" s="64" t="str"/>
      <x:c r="K15" s="96"/>
      <x:c r="L15" s="96"/>
      <x:c r="M15" s="65" t="str"/>
    </x:row>
    <x:row r="16">
      <x:c r="A16" s="63" t="str">
        <x:v>GRA-12</x:v>
      </x:c>
      <x:c r="B16" s="64" t="str">
        <x:v>Not Started</x:v>
      </x:c>
      <x:c r="C16" s="64" t="str">
        <x:v>Hard</x:v>
      </x:c>
      <x:c r="D16" s="64" t="str">
        <x:v>SRE</x:v>
      </x:c>
      <x:c r="E16" s="64" t="str">
        <x:v>Dashboard quality</x:v>
      </x:c>
      <x:c r="F16" s="64" t="str">
        <x:v>Review a dashboard for noise, misleading graphs and missing context.</x:v>
      </x:c>
      <x:c r="G16" s="64" t="str">
        <x:v>Dashboard review checklist.</x:v>
      </x:c>
      <x:c r="H16" s="64" t="str">
        <x:v>observability-stack</x:v>
      </x:c>
      <x:c r="I16" s="64" t="str">
        <x:v>75 min</x:v>
      </x:c>
      <x:c r="J16" s="64" t="str"/>
      <x:c r="K16" s="96"/>
      <x:c r="L16" s="96"/>
      <x:c r="M16" s="65" t="str"/>
    </x:row>
    <x:row r="17">
      <x:c r="A17" s="63" t="str">
        <x:v>GRA-13</x:v>
      </x:c>
      <x:c r="B17" s="64" t="str">
        <x:v>Not Started</x:v>
      </x:c>
      <x:c r="C17" s="64" t="str">
        <x:v>Hard</x:v>
      </x:c>
      <x:c r="D17" s="64" t="str">
        <x:v>Portfolio</x:v>
      </x:c>
      <x:c r="E17" s="64" t="str">
        <x:v>Provisioning</x:v>
      </x:c>
      <x:c r="F17" s="64" t="str">
        <x:v>Provision data sources and dashboards from files.</x:v>
      </x:c>
      <x:c r="G17" s="64" t="str">
        <x:v>Provisioning directory + README.</x:v>
      </x:c>
      <x:c r="H17" s="64" t="str">
        <x:v>observability-stack</x:v>
      </x:c>
      <x:c r="I17" s="64" t="str">
        <x:v>120 min</x:v>
      </x:c>
      <x:c r="J17" s="64" t="str"/>
      <x:c r="K17" s="96"/>
      <x:c r="L17" s="96"/>
      <x:c r="M17" s="65" t="str"/>
    </x:row>
    <x:row r="18">
      <x:c r="A18" s="63" t="str">
        <x:v>GRA-14</x:v>
      </x:c>
      <x:c r="B18" s="64" t="str">
        <x:v>Not Started</x:v>
      </x:c>
      <x:c r="C18" s="64" t="str">
        <x:v>Medium</x:v>
      </x:c>
      <x:c r="D18" s="64" t="str">
        <x:v>Interview</x:v>
      </x:c>
      <x:c r="E18" s="64" t="str">
        <x:v>Broken data source</x:v>
      </x:c>
      <x:c r="F18" s="64" t="str">
        <x:v>Diagnose Grafana unable to query Prometheus.</x:v>
      </x:c>
      <x:c r="G18" s="64" t="str">
        <x:v>grafana-datasource runbook.</x:v>
      </x:c>
      <x:c r="H18" s="64" t="str">
        <x:v>sre-runbooks</x:v>
      </x:c>
      <x:c r="I18" s="64" t="str">
        <x:v>75 min</x:v>
      </x:c>
      <x:c r="J18" s="64" t="str"/>
      <x:c r="K18" s="96"/>
      <x:c r="L18" s="96"/>
      <x:c r="M18" s="65" t="str"/>
    </x:row>
    <x:row r="19">
      <x:c r="A19" s="63" t="str">
        <x:v>GRA-15</x:v>
      </x:c>
      <x:c r="B19" s="64" t="str">
        <x:v>Not Started</x:v>
      </x:c>
      <x:c r="C19" s="64" t="str">
        <x:v>Hard</x:v>
      </x:c>
      <x:c r="D19" s="64" t="str">
        <x:v>Interview</x:v>
      </x:c>
      <x:c r="E19" s="64" t="str">
        <x:v>No data</x:v>
      </x:c>
      <x:c r="F19" s="64" t="str">
        <x:v>Diagnose a panel showing No data despite healthy services.</x:v>
      </x:c>
      <x:c r="G19" s="64" t="str">
        <x:v>no-data RCA.</x:v>
      </x:c>
      <x:c r="H19" s="64" t="str">
        <x:v>sre-runbooks</x:v>
      </x:c>
      <x:c r="I19" s="64" t="str">
        <x:v>90 min</x:v>
      </x:c>
      <x:c r="J19" s="64" t="str"/>
      <x:c r="K19" s="96"/>
      <x:c r="L19" s="96"/>
      <x:c r="M19" s="65" t="str"/>
    </x:row>
    <x:row r="20">
      <x:c r="A20" s="63" t="str">
        <x:v>GRA-16</x:v>
      </x:c>
      <x:c r="B20" s="64" t="str">
        <x:v>Not Started</x:v>
      </x:c>
      <x:c r="C20" s="64" t="str">
        <x:v>Hard</x:v>
      </x:c>
      <x:c r="D20" s="64" t="str">
        <x:v>Advanced</x:v>
      </x:c>
      <x:c r="E20" s="64" t="str">
        <x:v>Slow dashboard</x:v>
      </x:c>
      <x:c r="F20" s="64" t="str">
        <x:v>Investigate expensive queries and reduce load.</x:v>
      </x:c>
      <x:c r="G20" s="64" t="str">
        <x:v>performance review.</x:v>
      </x:c>
      <x:c r="H20" s="64" t="str">
        <x:v>observability-stack</x:v>
      </x:c>
      <x:c r="I20" s="64" t="str">
        <x:v>90 min</x:v>
      </x:c>
      <x:c r="J20" s="64" t="str"/>
      <x:c r="K20" s="96"/>
      <x:c r="L20" s="96"/>
      <x:c r="M20" s="65" t="str"/>
    </x:row>
    <x:row r="21">
      <x:c r="A21" s="63" t="str">
        <x:v>GRA-17</x:v>
      </x:c>
      <x:c r="B21" s="64" t="str">
        <x:v>Not Started</x:v>
      </x:c>
      <x:c r="C21" s="64" t="str">
        <x:v>Easy</x:v>
      </x:c>
      <x:c r="D21" s="64" t="str">
        <x:v>Portfolio</x:v>
      </x:c>
      <x:c r="E21" s="64" t="str">
        <x:v>Sharing</x:v>
      </x:c>
      <x:c r="F21" s="64" t="str">
        <x:v>Export dashboard JSON and create sanitized screenshots for GitHub.</x:v>
      </x:c>
      <x:c r="G21" s="64" t="str">
        <x:v>Published dashboard assets.</x:v>
      </x:c>
      <x:c r="H21" s="64" t="str">
        <x:v>observability-stack</x:v>
      </x:c>
      <x:c r="I21" s="64" t="str">
        <x:v>45 min</x:v>
      </x:c>
      <x:c r="J21" s="64" t="str"/>
      <x:c r="K21" s="96"/>
      <x:c r="L21" s="96"/>
      <x:c r="M21" s="65" t="str"/>
    </x:row>
    <x:row r="22">
      <x:c r="A22" s="63" t="str">
        <x:v>GRA-18</x:v>
      </x:c>
      <x:c r="B22" s="64" t="str">
        <x:v>Not Started</x:v>
      </x:c>
      <x:c r="C22" s="64" t="str">
        <x:v>Medium</x:v>
      </x:c>
      <x:c r="D22" s="64" t="str">
        <x:v>Portfolio</x:v>
      </x:c>
      <x:c r="E22" s="64" t="str">
        <x:v>Dashboard README</x:v>
      </x:c>
      <x:c r="F22" s="64" t="str">
        <x:v>Document panel purpose, queries and operational usage.</x:v>
      </x:c>
      <x:c r="G22" s="64" t="str">
        <x:v>dashboard README.</x:v>
      </x:c>
      <x:c r="H22" s="64" t="str">
        <x:v>observability-stack</x:v>
      </x:c>
      <x:c r="I22" s="64" t="str">
        <x:v>60 min</x:v>
      </x:c>
      <x:c r="J22" s="64" t="str"/>
      <x:c r="K22" s="96"/>
      <x:c r="L22" s="96"/>
      <x:c r="M22" s="65" t="str"/>
    </x:row>
    <x:row r="23">
      <x:c r="A23" s="63" t="str">
        <x:v>GRA-19</x:v>
      </x:c>
      <x:c r="B23" s="64" t="str">
        <x:v>Not Started</x:v>
      </x:c>
      <x:c r="C23" s="64" t="str">
        <x:v>Hard</x:v>
      </x:c>
      <x:c r="D23" s="64" t="str">
        <x:v>SRE</x:v>
      </x:c>
      <x:c r="E23" s="64" t="str">
        <x:v>Incident view</x:v>
      </x:c>
      <x:c r="F23" s="64" t="str">
        <x:v>Create a dashboard optimized for active incident response.</x:v>
      </x:c>
      <x:c r="G23" s="64" t="str">
        <x:v>Incident dashboard JSON.</x:v>
      </x:c>
      <x:c r="H23" s="64" t="str">
        <x:v>observability-stack</x:v>
      </x:c>
      <x:c r="I23" s="64" t="str">
        <x:v>150 min</x:v>
      </x:c>
      <x:c r="J23" s="64" t="str"/>
      <x:c r="K23" s="96"/>
      <x:c r="L23" s="96"/>
      <x:c r="M23" s="65" t="str"/>
    </x:row>
    <x:row r="24">
      <x:c r="A24" s="66" t="str">
        <x:v>GRA-20</x:v>
      </x:c>
      <x:c r="B24" s="67" t="str">
        <x:v>Not Started</x:v>
      </x:c>
      <x:c r="C24" s="67" t="str">
        <x:v>Hard</x:v>
      </x:c>
      <x:c r="D24" s="67" t="str">
        <x:v>Portfolio</x:v>
      </x:c>
      <x:c r="E24" s="67" t="str">
        <x:v>Project</x:v>
      </x:c>
      <x:c r="F24" s="67" t="str">
        <x:v>Deliver a version-controlled Grafana setup with provisioning, two dashboards and alerting.</x:v>
      </x:c>
      <x:c r="G24" s="67" t="str">
        <x:v>Complete observability repository.</x:v>
      </x:c>
      <x:c r="H24" s="67" t="str">
        <x:v>observability-stack</x:v>
      </x:c>
      <x:c r="I24" s="67" t="str">
        <x:v>240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35" priority="1">
      <x:formula>B5="Done"</x:formula>
    </x:cfRule>
    <x:cfRule type="expression" dxfId="36" priority="2">
      <x:formula>B5="In Progress"</x:formula>
    </x:cfRule>
    <x:cfRule type="expression" dxfId="37" priority="3">
      <x:formula>B5="Blocked"</x:formula>
    </x:cfRule>
  </x:conditionalFormatting>
  <x:conditionalFormatting sqref="C5:C24">
    <x:cfRule type="expression" dxfId="38" priority="4">
      <x:formula>C5="Hard"</x:formula>
    </x:cfRule>
    <x:cfRule type="expression" dxfId="39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ac519cf99644c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SRE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SRE-01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Principles</x:v>
      </x:c>
      <x:c r="F5" s="61" t="str">
        <x:v>Explain how SRE differs from traditional operations and DevOps.</x:v>
      </x:c>
      <x:c r="G5" s="61" t="str">
        <x:v>sre-principles.md.</x:v>
      </x:c>
      <x:c r="H5" s="61" t="str">
        <x:v>sre-runbooks</x:v>
      </x:c>
      <x:c r="I5" s="61" t="str">
        <x:v>45 min</x:v>
      </x:c>
      <x:c r="J5" s="61" t="str"/>
      <x:c r="K5" s="95"/>
      <x:c r="L5" s="95"/>
      <x:c r="M5" s="62" t="str"/>
    </x:row>
    <x:row r="6">
      <x:c r="A6" s="63" t="str">
        <x:v>SRE-02</x:v>
      </x:c>
      <x:c r="B6" s="64" t="str">
        <x:v>Not Started</x:v>
      </x:c>
      <x:c r="C6" s="64" t="str">
        <x:v>Medium</x:v>
      </x:c>
      <x:c r="D6" s="64" t="str">
        <x:v>Must Know</x:v>
      </x:c>
      <x:c r="E6" s="64" t="str">
        <x:v>SLI</x:v>
      </x:c>
      <x:c r="F6" s="64" t="str">
        <x:v>Define availability, latency and correctness SLIs for the demo application.</x:v>
      </x:c>
      <x:c r="G6" s="64" t="str">
        <x:v>sli-document.md.</x:v>
      </x:c>
      <x:c r="H6" s="64" t="str">
        <x:v>sre-runbooks</x:v>
      </x:c>
      <x:c r="I6" s="64" t="str">
        <x:v>75 min</x:v>
      </x:c>
      <x:c r="J6" s="64" t="str"/>
      <x:c r="K6" s="96"/>
      <x:c r="L6" s="96"/>
      <x:c r="M6" s="65" t="str"/>
    </x:row>
    <x:row r="7">
      <x:c r="A7" s="63" t="str">
        <x:v>SRE-03</x:v>
      </x:c>
      <x:c r="B7" s="64" t="str">
        <x:v>Not Started</x:v>
      </x:c>
      <x:c r="C7" s="64" t="str">
        <x:v>Medium</x:v>
      </x:c>
      <x:c r="D7" s="64" t="str">
        <x:v>Must Know</x:v>
      </x:c>
      <x:c r="E7" s="64" t="str">
        <x:v>SLO</x:v>
      </x:c>
      <x:c r="F7" s="64" t="str">
        <x:v>Create realistic SLO targets and measurement windows.</x:v>
      </x:c>
      <x:c r="G7" s="64" t="str">
        <x:v>slo-document.md.</x:v>
      </x:c>
      <x:c r="H7" s="64" t="str">
        <x:v>sre-runbooks</x:v>
      </x:c>
      <x:c r="I7" s="64" t="str">
        <x:v>75 min</x:v>
      </x:c>
      <x:c r="J7" s="64" t="str"/>
      <x:c r="K7" s="96"/>
      <x:c r="L7" s="96"/>
      <x:c r="M7" s="65" t="str"/>
    </x:row>
    <x:row r="8">
      <x:c r="A8" s="63" t="str">
        <x:v>SRE-04</x:v>
      </x:c>
      <x:c r="B8" s="64" t="str">
        <x:v>Not Started</x:v>
      </x:c>
      <x:c r="C8" s="64" t="str">
        <x:v>Easy</x:v>
      </x:c>
      <x:c r="D8" s="64" t="str">
        <x:v>Core</x:v>
      </x:c>
      <x:c r="E8" s="64" t="str">
        <x:v>SLA</x:v>
      </x:c>
      <x:c r="F8" s="64" t="str">
        <x:v>Explain SLA versus SLO and consequences of breach.</x:v>
      </x:c>
      <x:c r="G8" s="64" t="str">
        <x:v>sla-vs-slo.md.</x:v>
      </x:c>
      <x:c r="H8" s="64" t="str">
        <x:v>sre-runbooks</x:v>
      </x:c>
      <x:c r="I8" s="64" t="str">
        <x:v>45 min</x:v>
      </x:c>
      <x:c r="J8" s="64" t="str"/>
      <x:c r="K8" s="96"/>
      <x:c r="L8" s="96"/>
      <x:c r="M8" s="65" t="str"/>
    </x:row>
    <x:row r="9">
      <x:c r="A9" s="63" t="str">
        <x:v>SRE-05</x:v>
      </x:c>
      <x:c r="B9" s="64" t="str">
        <x:v>Not Started</x:v>
      </x:c>
      <x:c r="C9" s="64" t="str">
        <x:v>Medium</x:v>
      </x:c>
      <x:c r="D9" s="64" t="str">
        <x:v>Must Know</x:v>
      </x:c>
      <x:c r="E9" s="64" t="str">
        <x:v>Error budget</x:v>
      </x:c>
      <x:c r="F9" s="64" t="str">
        <x:v>Calculate an error budget for 99.9% monthly availability.</x:v>
      </x:c>
      <x:c r="G9" s="64" t="str">
        <x:v>error-budget worksheet and explanation.</x:v>
      </x:c>
      <x:c r="H9" s="64" t="str">
        <x:v>sre-runbooks</x:v>
      </x:c>
      <x:c r="I9" s="64" t="str">
        <x:v>60 min</x:v>
      </x:c>
      <x:c r="J9" s="64" t="str"/>
      <x:c r="K9" s="96"/>
      <x:c r="L9" s="96"/>
      <x:c r="M9" s="65" t="str"/>
    </x:row>
    <x:row r="10">
      <x:c r="A10" s="63" t="str">
        <x:v>SRE-06</x:v>
      </x:c>
      <x:c r="B10" s="64" t="str">
        <x:v>Not Started</x:v>
      </x:c>
      <x:c r="C10" s="64" t="str">
        <x:v>Hard</x:v>
      </x:c>
      <x:c r="D10" s="64" t="str">
        <x:v>Advanced</x:v>
      </x:c>
      <x:c r="E10" s="64" t="str">
        <x:v>Burn rate</x:v>
      </x:c>
      <x:c r="F10" s="64" t="str">
        <x:v>Explain fast and slow burn alerts and create example thresholds.</x:v>
      </x:c>
      <x:c r="G10" s="64" t="str">
        <x:v>burn-rate-alerts.md.</x:v>
      </x:c>
      <x:c r="H10" s="64" t="str">
        <x:v>sre-runbooks</x:v>
      </x:c>
      <x:c r="I10" s="64" t="str">
        <x:v>90 min</x:v>
      </x:c>
      <x:c r="J10" s="64" t="str"/>
      <x:c r="K10" s="96"/>
      <x:c r="L10" s="96"/>
      <x:c r="M10" s="65" t="str"/>
    </x:row>
    <x:row r="11">
      <x:c r="A11" s="63" t="str">
        <x:v>SRE-07</x:v>
      </x:c>
      <x:c r="B11" s="64" t="str">
        <x:v>Not Started</x:v>
      </x:c>
      <x:c r="C11" s="64" t="str">
        <x:v>Medium</x:v>
      </x:c>
      <x:c r="D11" s="64" t="str">
        <x:v>Must Know</x:v>
      </x:c>
      <x:c r="E11" s="64" t="str">
        <x:v>Golden Signals</x:v>
      </x:c>
      <x:c r="F11" s="64" t="str">
        <x:v>Apply latency, traffic, errors and saturation to the demo app.</x:v>
      </x:c>
      <x:c r="G11" s="64" t="str">
        <x:v>golden-signals review.</x:v>
      </x:c>
      <x:c r="H11" s="64" t="str">
        <x:v>sre-runbooks</x:v>
      </x:c>
      <x:c r="I11" s="64" t="str">
        <x:v>75 min</x:v>
      </x:c>
      <x:c r="J11" s="64" t="str"/>
      <x:c r="K11" s="96"/>
      <x:c r="L11" s="96"/>
      <x:c r="M11" s="65" t="str"/>
    </x:row>
    <x:row r="12">
      <x:c r="A12" s="63" t="str">
        <x:v>SRE-08</x:v>
      </x:c>
      <x:c r="B12" s="64" t="str">
        <x:v>Not Started</x:v>
      </x:c>
      <x:c r="C12" s="64" t="str">
        <x:v>Medium</x:v>
      </x:c>
      <x:c r="D12" s="64" t="str">
        <x:v>Must Know</x:v>
      </x:c>
      <x:c r="E12" s="64" t="str">
        <x:v>RED</x:v>
      </x:c>
      <x:c r="F12" s="64" t="str">
        <x:v>Apply Rate, Errors and Duration to an HTTP service.</x:v>
      </x:c>
      <x:c r="G12" s="64" t="str">
        <x:v>RED-method.md.</x:v>
      </x:c>
      <x:c r="H12" s="64" t="str">
        <x:v>sre-runbooks</x:v>
      </x:c>
      <x:c r="I12" s="64" t="str">
        <x:v>60 min</x:v>
      </x:c>
      <x:c r="J12" s="64" t="str"/>
      <x:c r="K12" s="96"/>
      <x:c r="L12" s="96"/>
      <x:c r="M12" s="65" t="str"/>
    </x:row>
    <x:row r="13">
      <x:c r="A13" s="63" t="str">
        <x:v>SRE-09</x:v>
      </x:c>
      <x:c r="B13" s="64" t="str">
        <x:v>Not Started</x:v>
      </x:c>
      <x:c r="C13" s="64" t="str">
        <x:v>Medium</x:v>
      </x:c>
      <x:c r="D13" s="64" t="str">
        <x:v>Must Know</x:v>
      </x:c>
      <x:c r="E13" s="64" t="str">
        <x:v>USE</x:v>
      </x:c>
      <x:c r="F13" s="64" t="str">
        <x:v>Apply Utilization, Saturation and Errors to host resources.</x:v>
      </x:c>
      <x:c r="G13" s="64" t="str">
        <x:v>USE-method.md.</x:v>
      </x:c>
      <x:c r="H13" s="64" t="str">
        <x:v>sre-runbooks</x:v>
      </x:c>
      <x:c r="I13" s="64" t="str">
        <x:v>60 min</x:v>
      </x:c>
      <x:c r="J13" s="64" t="str"/>
      <x:c r="K13" s="96"/>
      <x:c r="L13" s="96"/>
      <x:c r="M13" s="65" t="str"/>
    </x:row>
    <x:row r="14">
      <x:c r="A14" s="63" t="str">
        <x:v>SRE-10</x:v>
      </x:c>
      <x:c r="B14" s="64" t="str">
        <x:v>Not Started</x:v>
      </x:c>
      <x:c r="C14" s="64" t="str">
        <x:v>Hard</x:v>
      </x:c>
      <x:c r="D14" s="64" t="str">
        <x:v>SRE</x:v>
      </x:c>
      <x:c r="E14" s="64" t="str">
        <x:v>Alerting</x:v>
      </x:c>
      <x:c r="F14" s="64" t="str">
        <x:v>Classify alerts as actionable, informational or noisy.</x:v>
      </x:c>
      <x:c r="G14" s="64" t="str">
        <x:v>alert-review.md.</x:v>
      </x:c>
      <x:c r="H14" s="64" t="str">
        <x:v>sre-runbooks</x:v>
      </x:c>
      <x:c r="I14" s="64" t="str">
        <x:v>75 min</x:v>
      </x:c>
      <x:c r="J14" s="64" t="str"/>
      <x:c r="K14" s="96"/>
      <x:c r="L14" s="96"/>
      <x:c r="M14" s="65" t="str"/>
    </x:row>
    <x:row r="15">
      <x:c r="A15" s="63" t="str">
        <x:v>SRE-11</x:v>
      </x:c>
      <x:c r="B15" s="64" t="str">
        <x:v>Not Started</x:v>
      </x:c>
      <x:c r="C15" s="64" t="str">
        <x:v>Medium</x:v>
      </x:c>
      <x:c r="D15" s="64" t="str">
        <x:v>Must Know</x:v>
      </x:c>
      <x:c r="E15" s="64" t="str">
        <x:v>Runbook</x:v>
      </x:c>
      <x:c r="F15" s="64" t="str">
        <x:v>Write a runbook with symptoms, impact, diagnosis, mitigation and escalation.</x:v>
      </x:c>
      <x:c r="G15" s="64" t="str">
        <x:v>Reusable runbook template.</x:v>
      </x:c>
      <x:c r="H15" s="64" t="str">
        <x:v>sre-runbooks</x:v>
      </x:c>
      <x:c r="I15" s="64" t="str">
        <x:v>90 min</x:v>
      </x:c>
      <x:c r="J15" s="64" t="str"/>
      <x:c r="K15" s="96"/>
      <x:c r="L15" s="96"/>
      <x:c r="M15" s="65" t="str"/>
    </x:row>
    <x:row r="16">
      <x:c r="A16" s="63" t="str">
        <x:v>SRE-12</x:v>
      </x:c>
      <x:c r="B16" s="64" t="str">
        <x:v>Not Started</x:v>
      </x:c>
      <x:c r="C16" s="64" t="str">
        <x:v>Medium</x:v>
      </x:c>
      <x:c r="D16" s="64" t="str">
        <x:v>Core</x:v>
      </x:c>
      <x:c r="E16" s="64" t="str">
        <x:v>Incident roles</x:v>
      </x:c>
      <x:c r="F16" s="64" t="str">
        <x:v>Define incident commander, communications and operations roles.</x:v>
      </x:c>
      <x:c r="G16" s="64" t="str">
        <x:v>incident-roles.md.</x:v>
      </x:c>
      <x:c r="H16" s="64" t="str">
        <x:v>sre-runbooks</x:v>
      </x:c>
      <x:c r="I16" s="64" t="str">
        <x:v>60 min</x:v>
      </x:c>
      <x:c r="J16" s="64" t="str"/>
      <x:c r="K16" s="96"/>
      <x:c r="L16" s="96"/>
      <x:c r="M16" s="65" t="str"/>
    </x:row>
    <x:row r="17">
      <x:c r="A17" s="63" t="str">
        <x:v>SRE-13</x:v>
      </x:c>
      <x:c r="B17" s="64" t="str">
        <x:v>Not Started</x:v>
      </x:c>
      <x:c r="C17" s="64" t="str">
        <x:v>Medium</x:v>
      </x:c>
      <x:c r="D17" s="64" t="str">
        <x:v>Must Know</x:v>
      </x:c>
      <x:c r="E17" s="64" t="str">
        <x:v>Triage</x:v>
      </x:c>
      <x:c r="F17" s="64" t="str">
        <x:v>Create a first-15-minutes incident checklist.</x:v>
      </x:c>
      <x:c r="G17" s="64" t="str">
        <x:v>triage-checklist.md.</x:v>
      </x:c>
      <x:c r="H17" s="64" t="str">
        <x:v>sre-runbooks</x:v>
      </x:c>
      <x:c r="I17" s="64" t="str">
        <x:v>60 min</x:v>
      </x:c>
      <x:c r="J17" s="64" t="str"/>
      <x:c r="K17" s="96"/>
      <x:c r="L17" s="96"/>
      <x:c r="M17" s="65" t="str"/>
    </x:row>
    <x:row r="18">
      <x:c r="A18" s="63" t="str">
        <x:v>SRE-14</x:v>
      </x:c>
      <x:c r="B18" s="64" t="str">
        <x:v>Not Started</x:v>
      </x:c>
      <x:c r="C18" s="64" t="str">
        <x:v>Medium</x:v>
      </x:c>
      <x:c r="D18" s="64" t="str">
        <x:v>Core</x:v>
      </x:c>
      <x:c r="E18" s="64" t="str">
        <x:v>Severity</x:v>
      </x:c>
      <x:c r="F18" s="64" t="str">
        <x:v>Define SEV1-SEV4 severity levels for a sample organization.</x:v>
      </x:c>
      <x:c r="G18" s="64" t="str">
        <x:v>severity-matrix.md.</x:v>
      </x:c>
      <x:c r="H18" s="64" t="str">
        <x:v>sre-runbooks</x:v>
      </x:c>
      <x:c r="I18" s="64" t="str">
        <x:v>60 min</x:v>
      </x:c>
      <x:c r="J18" s="64" t="str"/>
      <x:c r="K18" s="96"/>
      <x:c r="L18" s="96"/>
      <x:c r="M18" s="65" t="str"/>
    </x:row>
    <x:row r="19">
      <x:c r="A19" s="63" t="str">
        <x:v>SRE-15</x:v>
      </x:c>
      <x:c r="B19" s="64" t="str">
        <x:v>Not Started</x:v>
      </x:c>
      <x:c r="C19" s="64" t="str">
        <x:v>Medium</x:v>
      </x:c>
      <x:c r="D19" s="64" t="str">
        <x:v>Must Know</x:v>
      </x:c>
      <x:c r="E19" s="64" t="str">
        <x:v>Communication</x:v>
      </x:c>
      <x:c r="F19" s="64" t="str">
        <x:v>Write internal and customer-facing incident updates.</x:v>
      </x:c>
      <x:c r="G19" s="64" t="str">
        <x:v>incident-comms examples.</x:v>
      </x:c>
      <x:c r="H19" s="64" t="str">
        <x:v>sre-runbooks</x:v>
      </x:c>
      <x:c r="I19" s="64" t="str">
        <x:v>75 min</x:v>
      </x:c>
      <x:c r="J19" s="64" t="str"/>
      <x:c r="K19" s="96"/>
      <x:c r="L19" s="96"/>
      <x:c r="M19" s="65" t="str"/>
    </x:row>
    <x:row r="20">
      <x:c r="A20" s="63" t="str">
        <x:v>SRE-16</x:v>
      </x:c>
      <x:c r="B20" s="64" t="str">
        <x:v>Not Started</x:v>
      </x:c>
      <x:c r="C20" s="64" t="str">
        <x:v>Hard</x:v>
      </x:c>
      <x:c r="D20" s="64" t="str">
        <x:v>Interview</x:v>
      </x:c>
      <x:c r="E20" s="64" t="str">
        <x:v>Mitigation</x:v>
      </x:c>
      <x:c r="F20" s="64" t="str">
        <x:v>Compare rollback, restart, scale, feature flag and failover mitigations.</x:v>
      </x:c>
      <x:c r="G20" s="64" t="str">
        <x:v>mitigation-playbook.md.</x:v>
      </x:c>
      <x:c r="H20" s="64" t="str">
        <x:v>sre-runbooks</x:v>
      </x:c>
      <x:c r="I20" s="64" t="str">
        <x:v>75 min</x:v>
      </x:c>
      <x:c r="J20" s="64" t="str"/>
      <x:c r="K20" s="96"/>
      <x:c r="L20" s="96"/>
      <x:c r="M20" s="65" t="str"/>
    </x:row>
    <x:row r="21">
      <x:c r="A21" s="63" t="str">
        <x:v>SRE-17</x:v>
      </x:c>
      <x:c r="B21" s="64" t="str">
        <x:v>Not Started</x:v>
      </x:c>
      <x:c r="C21" s="64" t="str">
        <x:v>Medium</x:v>
      </x:c>
      <x:c r="D21" s="64" t="str">
        <x:v>Must Know</x:v>
      </x:c>
      <x:c r="E21" s="64" t="str">
        <x:v>RCA</x:v>
      </x:c>
      <x:c r="F21" s="64" t="str">
        <x:v>Perform five-whys analysis for a recurring outage.</x:v>
      </x:c>
      <x:c r="G21" s="64" t="str">
        <x:v>five-whys RCA.</x:v>
      </x:c>
      <x:c r="H21" s="64" t="str">
        <x:v>sre-runbooks</x:v>
      </x:c>
      <x:c r="I21" s="64" t="str">
        <x:v>60 min</x:v>
      </x:c>
      <x:c r="J21" s="64" t="str"/>
      <x:c r="K21" s="96"/>
      <x:c r="L21" s="96"/>
      <x:c r="M21" s="65" t="str"/>
    </x:row>
    <x:row r="22">
      <x:c r="A22" s="63" t="str">
        <x:v>SRE-18</x:v>
      </x:c>
      <x:c r="B22" s="64" t="str">
        <x:v>Not Started</x:v>
      </x:c>
      <x:c r="C22" s="64" t="str">
        <x:v>Hard</x:v>
      </x:c>
      <x:c r="D22" s="64" t="str">
        <x:v>Portfolio</x:v>
      </x:c>
      <x:c r="E22" s="64" t="str">
        <x:v>Postmortem</x:v>
      </x:c>
      <x:c r="F22" s="64" t="str">
        <x:v>Write a blameless postmortem with timeline and action items.</x:v>
      </x:c>
      <x:c r="G22" s="64" t="str">
        <x:v>postmortem.md.</x:v>
      </x:c>
      <x:c r="H22" s="64" t="str">
        <x:v>sre-runbooks</x:v>
      </x:c>
      <x:c r="I22" s="64" t="str">
        <x:v>120 min</x:v>
      </x:c>
      <x:c r="J22" s="64" t="str"/>
      <x:c r="K22" s="96"/>
      <x:c r="L22" s="96"/>
      <x:c r="M22" s="65" t="str"/>
    </x:row>
    <x:row r="23">
      <x:c r="A23" s="63" t="str">
        <x:v>SRE-19</x:v>
      </x:c>
      <x:c r="B23" s="64" t="str">
        <x:v>Not Started</x:v>
      </x:c>
      <x:c r="C23" s="64" t="str">
        <x:v>Medium</x:v>
      </x:c>
      <x:c r="D23" s="64" t="str">
        <x:v>Core</x:v>
      </x:c>
      <x:c r="E23" s="64" t="str">
        <x:v>Action items</x:v>
      </x:c>
      <x:c r="F23" s="64" t="str">
        <x:v>Create SMART remediation actions with owners and due dates.</x:v>
      </x:c>
      <x:c r="G23" s="64" t="str">
        <x:v>action-items tracker.</x:v>
      </x:c>
      <x:c r="H23" s="64" t="str">
        <x:v>sre-runbooks</x:v>
      </x:c>
      <x:c r="I23" s="64" t="str">
        <x:v>45 min</x:v>
      </x:c>
      <x:c r="J23" s="64" t="str"/>
      <x:c r="K23" s="96"/>
      <x:c r="L23" s="96"/>
      <x:c r="M23" s="65" t="str"/>
    </x:row>
    <x:row r="24">
      <x:c r="A24" s="63" t="str">
        <x:v>SRE-20</x:v>
      </x:c>
      <x:c r="B24" s="64" t="str">
        <x:v>Not Started</x:v>
      </x:c>
      <x:c r="C24" s="64" t="str">
        <x:v>Hard</x:v>
      </x:c>
      <x:c r="D24" s="64" t="str">
        <x:v>Portfolio</x:v>
      </x:c>
      <x:c r="E24" s="64" t="str">
        <x:v>Toil</x:v>
      </x:c>
      <x:c r="F24" s="64" t="str">
        <x:v>Identify toil in a repeated operational task and automate it.</x:v>
      </x:c>
      <x:c r="G24" s="64" t="str">
        <x:v>automation + toil report.</x:v>
      </x:c>
      <x:c r="H24" s="64" t="str">
        <x:v>linux-automation-toolkit</x:v>
      </x:c>
      <x:c r="I24" s="64" t="str">
        <x:v>150 min</x:v>
      </x:c>
      <x:c r="J24" s="64" t="str"/>
      <x:c r="K24" s="96"/>
      <x:c r="L24" s="96"/>
      <x:c r="M24" s="65" t="str"/>
    </x:row>
    <x:row r="25">
      <x:c r="A25" s="63" t="str">
        <x:v>SRE-21</x:v>
      </x:c>
      <x:c r="B25" s="64" t="str">
        <x:v>Not Started</x:v>
      </x:c>
      <x:c r="C25" s="64" t="str">
        <x:v>Hard</x:v>
      </x:c>
      <x:c r="D25" s="64" t="str">
        <x:v>SRE</x:v>
      </x:c>
      <x:c r="E25" s="64" t="str">
        <x:v>Capacity</x:v>
      </x:c>
      <x:c r="F25" s="64" t="str">
        <x:v>Estimate capacity needs using traffic and resource metrics.</x:v>
      </x:c>
      <x:c r="G25" s="64" t="str">
        <x:v>capacity-plan.md.</x:v>
      </x:c>
      <x:c r="H25" s="64" t="str">
        <x:v>sre-runbooks</x:v>
      </x:c>
      <x:c r="I25" s="64" t="str">
        <x:v>90 min</x:v>
      </x:c>
      <x:c r="J25" s="64" t="str"/>
      <x:c r="K25" s="96"/>
      <x:c r="L25" s="96"/>
      <x:c r="M25" s="65" t="str"/>
    </x:row>
    <x:row r="26">
      <x:c r="A26" s="63" t="str">
        <x:v>SRE-22</x:v>
      </x:c>
      <x:c r="B26" s="64" t="str">
        <x:v>Not Started</x:v>
      </x:c>
      <x:c r="C26" s="64" t="str">
        <x:v>Medium</x:v>
      </x:c>
      <x:c r="D26" s="64" t="str">
        <x:v>Core</x:v>
      </x:c>
      <x:c r="E26" s="64" t="str">
        <x:v>Maintenance</x:v>
      </x:c>
      <x:c r="F26" s="64" t="str">
        <x:v>Write a maintenance window plan and rollback strategy.</x:v>
      </x:c>
      <x:c r="G26" s="64" t="str">
        <x:v>maintenance-plan.md.</x:v>
      </x:c>
      <x:c r="H26" s="64" t="str">
        <x:v>sre-runbooks</x:v>
      </x:c>
      <x:c r="I26" s="64" t="str">
        <x:v>75 min</x:v>
      </x:c>
      <x:c r="J26" s="64" t="str"/>
      <x:c r="K26" s="96"/>
      <x:c r="L26" s="96"/>
      <x:c r="M26" s="65" t="str"/>
    </x:row>
    <x:row r="27">
      <x:c r="A27" s="63" t="str">
        <x:v>SRE-23</x:v>
      </x:c>
      <x:c r="B27" s="64" t="str">
        <x:v>Not Started</x:v>
      </x:c>
      <x:c r="C27" s="64" t="str">
        <x:v>Medium</x:v>
      </x:c>
      <x:c r="D27" s="64" t="str">
        <x:v>Core</x:v>
      </x:c>
      <x:c r="E27" s="64" t="str">
        <x:v>On-call</x:v>
      </x:c>
      <x:c r="F27" s="64" t="str">
        <x:v>Design a healthy on-call rotation and escalation policy.</x:v>
      </x:c>
      <x:c r="G27" s="64" t="str">
        <x:v>on-call-policy.md.</x:v>
      </x:c>
      <x:c r="H27" s="64" t="str">
        <x:v>sre-runbooks</x:v>
      </x:c>
      <x:c r="I27" s="64" t="str">
        <x:v>75 min</x:v>
      </x:c>
      <x:c r="J27" s="64" t="str"/>
      <x:c r="K27" s="96"/>
      <x:c r="L27" s="96"/>
      <x:c r="M27" s="65" t="str"/>
    </x:row>
    <x:row r="28">
      <x:c r="A28" s="63" t="str">
        <x:v>SRE-24</x:v>
      </x:c>
      <x:c r="B28" s="64" t="str">
        <x:v>Not Started</x:v>
      </x:c>
      <x:c r="C28" s="64" t="str">
        <x:v>Hard</x:v>
      </x:c>
      <x:c r="D28" s="64" t="str">
        <x:v>Portfolio</x:v>
      </x:c>
      <x:c r="E28" s="64" t="str">
        <x:v>Incident drill</x:v>
      </x:c>
      <x:c r="F28" s="64" t="str">
        <x:v>Run an HTTP 500 spike incident from alert to postmortem.</x:v>
      </x:c>
      <x:c r="G28" s="64" t="str">
        <x:v>Full incident package.</x:v>
      </x:c>
      <x:c r="H28" s="64" t="str">
        <x:v>sre-runbooks</x:v>
      </x:c>
      <x:c r="I28" s="64" t="str">
        <x:v>180 min</x:v>
      </x:c>
      <x:c r="J28" s="64" t="str"/>
      <x:c r="K28" s="96"/>
      <x:c r="L28" s="96"/>
      <x:c r="M28" s="65" t="str"/>
    </x:row>
    <x:row r="29">
      <x:c r="A29" s="63" t="str">
        <x:v>SRE-25</x:v>
      </x:c>
      <x:c r="B29" s="64" t="str">
        <x:v>Not Started</x:v>
      </x:c>
      <x:c r="C29" s="64" t="str">
        <x:v>Hard</x:v>
      </x:c>
      <x:c r="D29" s="64" t="str">
        <x:v>Interview</x:v>
      </x:c>
      <x:c r="E29" s="64" t="str">
        <x:v>Incident drill</x:v>
      </x:c>
      <x:c r="F29" s="64" t="str">
        <x:v>Run a Kubernetes CrashLoopBackOff incident.</x:v>
      </x:c>
      <x:c r="G29" s="64" t="str">
        <x:v>Runbook, timeline and RCA.</x:v>
      </x:c>
      <x:c r="H29" s="64" t="str">
        <x:v>sre-runbooks</x:v>
      </x:c>
      <x:c r="I29" s="64" t="str">
        <x:v>150 min</x:v>
      </x:c>
      <x:c r="J29" s="64" t="str"/>
      <x:c r="K29" s="96"/>
      <x:c r="L29" s="96"/>
      <x:c r="M29" s="65" t="str"/>
    </x:row>
    <x:row r="30">
      <x:c r="A30" s="63" t="str">
        <x:v>SRE-26</x:v>
      </x:c>
      <x:c r="B30" s="64" t="str">
        <x:v>Not Started</x:v>
      </x:c>
      <x:c r="C30" s="64" t="str">
        <x:v>Hard</x:v>
      </x:c>
      <x:c r="D30" s="64" t="str">
        <x:v>Interview</x:v>
      </x:c>
      <x:c r="E30" s="64" t="str">
        <x:v>Incident drill</x:v>
      </x:c>
      <x:c r="F30" s="64" t="str">
        <x:v>Run a Prometheus target-down incident.</x:v>
      </x:c>
      <x:c r="G30" s="64" t="str">
        <x:v>Runbook, mitigation and prevention.</x:v>
      </x:c>
      <x:c r="H30" s="64" t="str">
        <x:v>sre-runbooks</x:v>
      </x:c>
      <x:c r="I30" s="64" t="str">
        <x:v>150 min</x:v>
      </x:c>
      <x:c r="J30" s="64" t="str"/>
      <x:c r="K30" s="96"/>
      <x:c r="L30" s="96"/>
      <x:c r="M30" s="65" t="str"/>
    </x:row>
    <x:row r="31">
      <x:c r="A31" s="63" t="str">
        <x:v>SRE-27</x:v>
      </x:c>
      <x:c r="B31" s="64" t="str">
        <x:v>Not Started</x:v>
      </x:c>
      <x:c r="C31" s="64" t="str">
        <x:v>Hard</x:v>
      </x:c>
      <x:c r="D31" s="64" t="str">
        <x:v>Interview</x:v>
      </x:c>
      <x:c r="E31" s="64" t="str">
        <x:v>Incident drill</x:v>
      </x:c>
      <x:c r="F31" s="64" t="str">
        <x:v>Run a disk-full incident affecting application writes.</x:v>
      </x:c>
      <x:c r="G31" s="64" t="str">
        <x:v>Runbook and cleanup automation.</x:v>
      </x:c>
      <x:c r="H31" s="64" t="str">
        <x:v>sre-runbooks</x:v>
      </x:c>
      <x:c r="I31" s="64" t="str">
        <x:v>150 min</x:v>
      </x:c>
      <x:c r="J31" s="64" t="str"/>
      <x:c r="K31" s="96"/>
      <x:c r="L31" s="96"/>
      <x:c r="M31" s="65" t="str"/>
    </x:row>
    <x:row r="32">
      <x:c r="A32" s="63" t="str">
        <x:v>SRE-28</x:v>
      </x:c>
      <x:c r="B32" s="64" t="str">
        <x:v>Not Started</x:v>
      </x:c>
      <x:c r="C32" s="64" t="str">
        <x:v>Hard</x:v>
      </x:c>
      <x:c r="D32" s="64" t="str">
        <x:v>Advanced</x:v>
      </x:c>
      <x:c r="E32" s="64" t="str">
        <x:v>Reliability review</x:v>
      </x:c>
      <x:c r="F32" s="64" t="str">
        <x:v>Review the demo platform for single points of failure.</x:v>
      </x:c>
      <x:c r="G32" s="64" t="str">
        <x:v>reliability-review.md.</x:v>
      </x:c>
      <x:c r="H32" s="64" t="str">
        <x:v>sre-runbooks</x:v>
      </x:c>
      <x:c r="I32" s="64" t="str">
        <x:v>120 min</x:v>
      </x:c>
      <x:c r="J32" s="64" t="str"/>
      <x:c r="K32" s="96"/>
      <x:c r="L32" s="96"/>
      <x:c r="M32" s="65" t="str"/>
    </x:row>
    <x:row r="33">
      <x:c r="A33" s="63" t="str">
        <x:v>SRE-29</x:v>
      </x:c>
      <x:c r="B33" s="64" t="str">
        <x:v>Not Started</x:v>
      </x:c>
      <x:c r="C33" s="64" t="str">
        <x:v>Hard</x:v>
      </x:c>
      <x:c r="D33" s="64" t="str">
        <x:v>Advanced</x:v>
      </x:c>
      <x:c r="E33" s="64" t="str">
        <x:v>Game day</x:v>
      </x:c>
      <x:c r="F33" s="64" t="str">
        <x:v>Create a controlled failure injection plan with success criteria.</x:v>
      </x:c>
      <x:c r="G33" s="64" t="str">
        <x:v>game-day-plan.md.</x:v>
      </x:c>
      <x:c r="H33" s="64" t="str">
        <x:v>sre-runbooks</x:v>
      </x:c>
      <x:c r="I33" s="64" t="str">
        <x:v>150 min</x:v>
      </x:c>
      <x:c r="J33" s="64" t="str"/>
      <x:c r="K33" s="96"/>
      <x:c r="L33" s="96"/>
      <x:c r="M33" s="65" t="str"/>
    </x:row>
    <x:row r="34">
      <x:c r="A34" s="66" t="str">
        <x:v>SRE-30</x:v>
      </x:c>
      <x:c r="B34" s="67" t="str">
        <x:v>Not Started</x:v>
      </x:c>
      <x:c r="C34" s="67" t="str">
        <x:v>Hard</x:v>
      </x:c>
      <x:c r="D34" s="67" t="str">
        <x:v>Portfolio</x:v>
      </x:c>
      <x:c r="E34" s="67" t="str">
        <x:v>Portfolio</x:v>
      </x:c>
      <x:c r="F34" s="67" t="str">
        <x:v>Publish a coherent incident response pack containing runbooks, SLOs and postmortems.</x:v>
      </x:c>
      <x:c r="G34" s="67" t="str">
        <x:v>Professional sre-runbooks repository.</x:v>
      </x:c>
      <x:c r="H34" s="67" t="str">
        <x:v>sre-runbooks</x:v>
      </x:c>
      <x:c r="I34" s="67" t="str">
        <x:v>240 min</x:v>
      </x:c>
      <x:c r="J34" s="67" t="str"/>
      <x:c r="K34" s="97"/>
      <x:c r="L34" s="97"/>
      <x:c r="M34" s="68" t="str"/>
    </x:row>
  </x:sheetData>
  <x:mergeCells>
    <x:mergeCell ref="A1:M1"/>
    <x:mergeCell ref="A2:M2"/>
  </x:mergeCells>
  <x:conditionalFormatting sqref="B5:B34">
    <x:cfRule type="expression" dxfId="40" priority="1">
      <x:formula>B5="Done"</x:formula>
    </x:cfRule>
    <x:cfRule type="expression" dxfId="41" priority="2">
      <x:formula>B5="In Progress"</x:formula>
    </x:cfRule>
    <x:cfRule type="expression" dxfId="42" priority="3">
      <x:formula>B5="Blocked"</x:formula>
    </x:cfRule>
  </x:conditionalFormatting>
  <x:conditionalFormatting sqref="C5:C34">
    <x:cfRule type="expression" dxfId="43" priority="4">
      <x:formula>C5="Hard"</x:formula>
    </x:cfRule>
    <x:cfRule type="expression" dxfId="44" priority="5">
      <x:formula>C5="Interview"</x:formula>
    </x:cfRule>
  </x:conditionalFormatting>
  <x:dataValidations count="3">
    <x:dataValidation type="list" sqref="B5:B34">
      <x:formula1>"Not Started,In Progress,Blocked,Done"</x:formula1>
    </x:dataValidation>
    <x:dataValidation type="list" sqref="C5:C34">
      <x:formula1>"Easy,Medium,Hard,Interview"</x:formula1>
    </x:dataValidation>
    <x:dataValidation type="list" sqref="D5:D3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19934c78424ba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Python Automation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PYT-01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CLI</x:v>
      </x:c>
      <x:c r="F5" s="61" t="str">
        <x:v>Create a Python CLI with argparse and help text.</x:v>
      </x:c>
      <x:c r="G5" s="61" t="str">
        <x:v>system-tool.py + README.</x:v>
      </x:c>
      <x:c r="H5" s="61" t="str">
        <x:v>python-infra-tools</x:v>
      </x:c>
      <x:c r="I5" s="61" t="str">
        <x:v>60 min</x:v>
      </x:c>
      <x:c r="J5" s="61" t="str"/>
      <x:c r="K5" s="95"/>
      <x:c r="L5" s="95"/>
      <x:c r="M5" s="62" t="str"/>
    </x:row>
    <x:row r="6">
      <x:c r="A6" s="63" t="str">
        <x:v>PYT-02</x:v>
      </x:c>
      <x:c r="B6" s="64" t="str">
        <x:v>Not Started</x:v>
      </x:c>
      <x:c r="C6" s="64" t="str">
        <x:v>Easy</x:v>
      </x:c>
      <x:c r="D6" s="64" t="str">
        <x:v>Core</x:v>
      </x:c>
      <x:c r="E6" s="64" t="str">
        <x:v>Filesystem</x:v>
      </x:c>
      <x:c r="F6" s="64" t="str">
        <x:v>Use pathlib to find and summarize files.</x:v>
      </x:c>
      <x:c r="G6" s="64" t="str">
        <x:v>file_report.py.</x:v>
      </x:c>
      <x:c r="H6" s="64" t="str">
        <x:v>python-infra-tools</x:v>
      </x:c>
      <x:c r="I6" s="64" t="str">
        <x:v>60 min</x:v>
      </x:c>
      <x:c r="J6" s="64" t="str"/>
      <x:c r="K6" s="96"/>
      <x:c r="L6" s="96"/>
      <x:c r="M6" s="65" t="str"/>
    </x:row>
    <x:row r="7">
      <x:c r="A7" s="63" t="str">
        <x:v>PYT-03</x:v>
      </x:c>
      <x:c r="B7" s="64" t="str">
        <x:v>Not Started</x:v>
      </x:c>
      <x:c r="C7" s="64" t="str">
        <x:v>Medium</x:v>
      </x:c>
      <x:c r="D7" s="64" t="str">
        <x:v>Must Know</x:v>
      </x:c>
      <x:c r="E7" s="64" t="str">
        <x:v>subprocess</x:v>
      </x:c>
      <x:c r="F7" s="64" t="str">
        <x:v>Run Linux commands safely and capture output and errors.</x:v>
      </x:c>
      <x:c r="G7" s="64" t="str">
        <x:v>command_runner.py.</x:v>
      </x:c>
      <x:c r="H7" s="64" t="str">
        <x:v>python-infra-tools</x:v>
      </x:c>
      <x:c r="I7" s="64" t="str">
        <x:v>75 min</x:v>
      </x:c>
      <x:c r="J7" s="64" t="str"/>
      <x:c r="K7" s="96"/>
      <x:c r="L7" s="96"/>
      <x:c r="M7" s="65" t="str"/>
    </x:row>
    <x:row r="8">
      <x:c r="A8" s="63" t="str">
        <x:v>PYT-04</x:v>
      </x:c>
      <x:c r="B8" s="64" t="str">
        <x:v>Not Started</x:v>
      </x:c>
      <x:c r="C8" s="64" t="str">
        <x:v>Medium</x:v>
      </x:c>
      <x:c r="D8" s="64" t="str">
        <x:v>Core</x:v>
      </x:c>
      <x:c r="E8" s="64" t="str">
        <x:v>JSON</x:v>
      </x:c>
      <x:c r="F8" s="64" t="str">
        <x:v>Read, validate and transform JSON configuration.</x:v>
      </x:c>
      <x:c r="G8" s="64" t="str">
        <x:v>json_config_tool.py.</x:v>
      </x:c>
      <x:c r="H8" s="64" t="str">
        <x:v>python-infra-tools</x:v>
      </x:c>
      <x:c r="I8" s="64" t="str">
        <x:v>60 min</x:v>
      </x:c>
      <x:c r="J8" s="64" t="str"/>
      <x:c r="K8" s="96"/>
      <x:c r="L8" s="96"/>
      <x:c r="M8" s="65" t="str"/>
    </x:row>
    <x:row r="9">
      <x:c r="A9" s="63" t="str">
        <x:v>PYT-05</x:v>
      </x:c>
      <x:c r="B9" s="64" t="str">
        <x:v>Not Started</x:v>
      </x:c>
      <x:c r="C9" s="64" t="str">
        <x:v>Medium</x:v>
      </x:c>
      <x:c r="D9" s="64" t="str">
        <x:v>Must Know</x:v>
      </x:c>
      <x:c r="E9" s="64" t="str">
        <x:v>CSV</x:v>
      </x:c>
      <x:c r="F9" s="64" t="str">
        <x:v>Filter and aggregate CSV data.</x:v>
      </x:c>
      <x:c r="G9" s="64" t="str">
        <x:v>csv_report.py.</x:v>
      </x:c>
      <x:c r="H9" s="64" t="str">
        <x:v>python-infra-tools</x:v>
      </x:c>
      <x:c r="I9" s="64" t="str">
        <x:v>75 min</x:v>
      </x:c>
      <x:c r="J9" s="64" t="str"/>
      <x:c r="K9" s="96"/>
      <x:c r="L9" s="96"/>
      <x:c r="M9" s="65" t="str"/>
    </x:row>
    <x:row r="10">
      <x:c r="A10" s="63" t="str">
        <x:v>PYT-06</x:v>
      </x:c>
      <x:c r="B10" s="64" t="str">
        <x:v>Not Started</x:v>
      </x:c>
      <x:c r="C10" s="64" t="str">
        <x:v>Medium</x:v>
      </x:c>
      <x:c r="D10" s="64" t="str">
        <x:v>Must Know</x:v>
      </x:c>
      <x:c r="E10" s="64" t="str">
        <x:v>HTTP</x:v>
      </x:c>
      <x:c r="F10" s="64" t="str">
        <x:v>Call an API with requests, handle timeouts and status codes.</x:v>
      </x:c>
      <x:c r="G10" s="64" t="str">
        <x:v>api_health_check.py.</x:v>
      </x:c>
      <x:c r="H10" s="64" t="str">
        <x:v>python-infra-tools</x:v>
      </x:c>
      <x:c r="I10" s="64" t="str">
        <x:v>75 min</x:v>
      </x:c>
      <x:c r="J10" s="64" t="str"/>
      <x:c r="K10" s="96"/>
      <x:c r="L10" s="96"/>
      <x:c r="M10" s="65" t="str"/>
    </x:row>
    <x:row r="11">
      <x:c r="A11" s="63" t="str">
        <x:v>PYT-07</x:v>
      </x:c>
      <x:c r="B11" s="64" t="str">
        <x:v>Not Started</x:v>
      </x:c>
      <x:c r="C11" s="64" t="str">
        <x:v>Medium</x:v>
      </x:c>
      <x:c r="D11" s="64" t="str">
        <x:v>Core</x:v>
      </x:c>
      <x:c r="E11" s="64" t="str">
        <x:v>Logging</x:v>
      </x:c>
      <x:c r="F11" s="64" t="str">
        <x:v>Configure structured application logging.</x:v>
      </x:c>
      <x:c r="G11" s="64" t="str">
        <x:v>logging_demo.py.</x:v>
      </x:c>
      <x:c r="H11" s="64" t="str">
        <x:v>python-infra-tools</x:v>
      </x:c>
      <x:c r="I11" s="64" t="str">
        <x:v>60 min</x:v>
      </x:c>
      <x:c r="J11" s="64" t="str"/>
      <x:c r="K11" s="96"/>
      <x:c r="L11" s="96"/>
      <x:c r="M11" s="65" t="str"/>
    </x:row>
    <x:row r="12">
      <x:c r="A12" s="63" t="str">
        <x:v>PYT-08</x:v>
      </x:c>
      <x:c r="B12" s="64" t="str">
        <x:v>Not Started</x:v>
      </x:c>
      <x:c r="C12" s="64" t="str">
        <x:v>Medium</x:v>
      </x:c>
      <x:c r="D12" s="64" t="str">
        <x:v>Must Know</x:v>
      </x:c>
      <x:c r="E12" s="64" t="str">
        <x:v>Exceptions</x:v>
      </x:c>
      <x:c r="F12" s="64" t="str">
        <x:v>Design clear exception handling and exit codes.</x:v>
      </x:c>
      <x:c r="G12" s="64" t="str">
        <x:v>error_handling_lab.py.</x:v>
      </x:c>
      <x:c r="H12" s="64" t="str">
        <x:v>python-infra-tools</x:v>
      </x:c>
      <x:c r="I12" s="64" t="str">
        <x:v>60 min</x:v>
      </x:c>
      <x:c r="J12" s="64" t="str"/>
      <x:c r="K12" s="96"/>
      <x:c r="L12" s="96"/>
      <x:c r="M12" s="65" t="str"/>
    </x:row>
    <x:row r="13">
      <x:c r="A13" s="63" t="str">
        <x:v>PYT-09</x:v>
      </x:c>
      <x:c r="B13" s="64" t="str">
        <x:v>Not Started</x:v>
      </x:c>
      <x:c r="C13" s="64" t="str">
        <x:v>Easy</x:v>
      </x:c>
      <x:c r="D13" s="64" t="str">
        <x:v>Core</x:v>
      </x:c>
      <x:c r="E13" s="64" t="str">
        <x:v>Config</x:v>
      </x:c>
      <x:c r="F13" s="64" t="str">
        <x:v>Load configuration from environment variables.</x:v>
      </x:c>
      <x:c r="G13" s="64" t="str">
        <x:v>config_loader.py.</x:v>
      </x:c>
      <x:c r="H13" s="64" t="str">
        <x:v>python-infra-tools</x:v>
      </x:c>
      <x:c r="I13" s="64" t="str">
        <x:v>45 min</x:v>
      </x:c>
      <x:c r="J13" s="64" t="str"/>
      <x:c r="K13" s="96"/>
      <x:c r="L13" s="96"/>
      <x:c r="M13" s="65" t="str"/>
    </x:row>
    <x:row r="14">
      <x:c r="A14" s="63" t="str">
        <x:v>PYT-10</x:v>
      </x:c>
      <x:c r="B14" s="64" t="str">
        <x:v>Not Started</x:v>
      </x:c>
      <x:c r="C14" s="64" t="str">
        <x:v>Hard</x:v>
      </x:c>
      <x:c r="D14" s="64" t="str">
        <x:v>SRE</x:v>
      </x:c>
      <x:c r="E14" s="64" t="str">
        <x:v>Retries</x:v>
      </x:c>
      <x:c r="F14" s="64" t="str">
        <x:v>Implement retries with exponential backoff.</x:v>
      </x:c>
      <x:c r="G14" s="64" t="str">
        <x:v>retry_client.py.</x:v>
      </x:c>
      <x:c r="H14" s="64" t="str">
        <x:v>python-infra-tools</x:v>
      </x:c>
      <x:c r="I14" s="64" t="str">
        <x:v>90 min</x:v>
      </x:c>
      <x:c r="J14" s="64" t="str"/>
      <x:c r="K14" s="96"/>
      <x:c r="L14" s="96"/>
      <x:c r="M14" s="65" t="str"/>
    </x:row>
    <x:row r="15">
      <x:c r="A15" s="63" t="str">
        <x:v>PYT-11</x:v>
      </x:c>
      <x:c r="B15" s="64" t="str">
        <x:v>Not Started</x:v>
      </x:c>
      <x:c r="C15" s="64" t="str">
        <x:v>Hard</x:v>
      </x:c>
      <x:c r="D15" s="64" t="str">
        <x:v>Core</x:v>
      </x:c>
      <x:c r="E15" s="64" t="str">
        <x:v>Concurrency</x:v>
      </x:c>
      <x:c r="F15" s="64" t="str">
        <x:v>Check multiple URLs concurrently.</x:v>
      </x:c>
      <x:c r="G15" s="64" t="str">
        <x:v>concurrent_health_check.py.</x:v>
      </x:c>
      <x:c r="H15" s="64" t="str">
        <x:v>python-infra-tools</x:v>
      </x:c>
      <x:c r="I15" s="64" t="str">
        <x:v>90 min</x:v>
      </x:c>
      <x:c r="J15" s="64" t="str"/>
      <x:c r="K15" s="96"/>
      <x:c r="L15" s="96"/>
      <x:c r="M15" s="65" t="str"/>
    </x:row>
    <x:row r="16">
      <x:c r="A16" s="63" t="str">
        <x:v>PYT-12</x:v>
      </x:c>
      <x:c r="B16" s="64" t="str">
        <x:v>Not Started</x:v>
      </x:c>
      <x:c r="C16" s="64" t="str">
        <x:v>Medium</x:v>
      </x:c>
      <x:c r="D16" s="64" t="str">
        <x:v>Portfolio</x:v>
      </x:c>
      <x:c r="E16" s="64" t="str">
        <x:v>Testing</x:v>
      </x:c>
      <x:c r="F16" s="64" t="str">
        <x:v>Write pytest tests for an automation tool.</x:v>
      </x:c>
      <x:c r="G16" s="64" t="str">
        <x:v>tests + CI command.</x:v>
      </x:c>
      <x:c r="H16" s="64" t="str">
        <x:v>python-infra-tools</x:v>
      </x:c>
      <x:c r="I16" s="64" t="str">
        <x:v>90 min</x:v>
      </x:c>
      <x:c r="J16" s="64" t="str"/>
      <x:c r="K16" s="96"/>
      <x:c r="L16" s="96"/>
      <x:c r="M16" s="65" t="str"/>
    </x:row>
    <x:row r="17">
      <x:c r="A17" s="63" t="str">
        <x:v>PYT-13</x:v>
      </x:c>
      <x:c r="B17" s="64" t="str">
        <x:v>Not Started</x:v>
      </x:c>
      <x:c r="C17" s="64" t="str">
        <x:v>Hard</x:v>
      </x:c>
      <x:c r="D17" s="64" t="str">
        <x:v>Portfolio</x:v>
      </x:c>
      <x:c r="E17" s="64" t="str">
        <x:v>Packaging</x:v>
      </x:c>
      <x:c r="F17" s="64" t="str">
        <x:v>Package a CLI tool with pyproject.toml.</x:v>
      </x:c>
      <x:c r="G17" s="64" t="str">
        <x:v>Installable package.</x:v>
      </x:c>
      <x:c r="H17" s="64" t="str">
        <x:v>python-infra-tools</x:v>
      </x:c>
      <x:c r="I17" s="64" t="str">
        <x:v>120 min</x:v>
      </x:c>
      <x:c r="J17" s="64" t="str"/>
      <x:c r="K17" s="96"/>
      <x:c r="L17" s="96"/>
      <x:c r="M17" s="65" t="str"/>
    </x:row>
    <x:row r="18">
      <x:c r="A18" s="63" t="str">
        <x:v>PYT-14</x:v>
      </x:c>
      <x:c r="B18" s="64" t="str">
        <x:v>Not Started</x:v>
      </x:c>
      <x:c r="C18" s="64" t="str">
        <x:v>Hard</x:v>
      </x:c>
      <x:c r="D18" s="64" t="str">
        <x:v>Core</x:v>
      </x:c>
      <x:c r="E18" s="64" t="str">
        <x:v>Docker SDK</x:v>
      </x:c>
      <x:c r="F18" s="64" t="str">
        <x:v>List containers and report unhealthy states using Docker SDK.</x:v>
      </x:c>
      <x:c r="G18" s="64" t="str">
        <x:v>docker_report.py.</x:v>
      </x:c>
      <x:c r="H18" s="64" t="str">
        <x:v>python-infra-tools</x:v>
      </x:c>
      <x:c r="I18" s="64" t="str">
        <x:v>120 min</x:v>
      </x:c>
      <x:c r="J18" s="64" t="str"/>
      <x:c r="K18" s="96"/>
      <x:c r="L18" s="96"/>
      <x:c r="M18" s="65" t="str"/>
    </x:row>
    <x:row r="19">
      <x:c r="A19" s="63" t="str">
        <x:v>PYT-15</x:v>
      </x:c>
      <x:c r="B19" s="64" t="str">
        <x:v>Not Started</x:v>
      </x:c>
      <x:c r="C19" s="64" t="str">
        <x:v>Hard</x:v>
      </x:c>
      <x:c r="D19" s="64" t="str">
        <x:v>Portfolio</x:v>
      </x:c>
      <x:c r="E19" s="64" t="str">
        <x:v>Kubernetes client</x:v>
      </x:c>
      <x:c r="F19" s="64" t="str">
        <x:v>List failing Pods using Kubernetes Python client.</x:v>
      </x:c>
      <x:c r="G19" s="64" t="str">
        <x:v>kube_health.py.</x:v>
      </x:c>
      <x:c r="H19" s="64" t="str">
        <x:v>python-infra-tools</x:v>
      </x:c>
      <x:c r="I19" s="64" t="str">
        <x:v>150 min</x:v>
      </x:c>
      <x:c r="J19" s="64" t="str"/>
      <x:c r="K19" s="96"/>
      <x:c r="L19" s="96"/>
      <x:c r="M19" s="65" t="str"/>
    </x:row>
    <x:row r="20">
      <x:c r="A20" s="63" t="str">
        <x:v>PYT-16</x:v>
      </x:c>
      <x:c r="B20" s="64" t="str">
        <x:v>Not Started</x:v>
      </x:c>
      <x:c r="C20" s="64" t="str">
        <x:v>Hard</x:v>
      </x:c>
      <x:c r="D20" s="64" t="str">
        <x:v>SRE</x:v>
      </x:c>
      <x:c r="E20" s="64" t="str">
        <x:v>Prometheus API</x:v>
      </x:c>
      <x:c r="F20" s="64" t="str">
        <x:v>Query Prometheus HTTP API and create a summary report.</x:v>
      </x:c>
      <x:c r="G20" s="64" t="str">
        <x:v>prometheus_report.py.</x:v>
      </x:c>
      <x:c r="H20" s="64" t="str">
        <x:v>python-infra-tools</x:v>
      </x:c>
      <x:c r="I20" s="64" t="str">
        <x:v>120 min</x:v>
      </x:c>
      <x:c r="J20" s="64" t="str"/>
      <x:c r="K20" s="96"/>
      <x:c r="L20" s="96"/>
      <x:c r="M20" s="65" t="str"/>
    </x:row>
    <x:row r="21">
      <x:c r="A21" s="63" t="str">
        <x:v>PYT-17</x:v>
      </x:c>
      <x:c r="B21" s="64" t="str">
        <x:v>Not Started</x:v>
      </x:c>
      <x:c r="C21" s="64" t="str">
        <x:v>Medium</x:v>
      </x:c>
      <x:c r="D21" s="64" t="str">
        <x:v>Portfolio</x:v>
      </x:c>
      <x:c r="E21" s="64" t="str">
        <x:v>Log parser</x:v>
      </x:c>
      <x:c r="F21" s="64" t="str">
        <x:v>Rewrite the Bash access-log analyzer in Python.</x:v>
      </x:c>
      <x:c r="G21" s="64" t="str">
        <x:v>nginx_log_analyzer.py.</x:v>
      </x:c>
      <x:c r="H21" s="64" t="str">
        <x:v>python-infra-tools</x:v>
      </x:c>
      <x:c r="I21" s="64" t="str">
        <x:v>120 min</x:v>
      </x:c>
      <x:c r="J21" s="64" t="str"/>
      <x:c r="K21" s="96"/>
      <x:c r="L21" s="96"/>
      <x:c r="M21" s="65" t="str"/>
    </x:row>
    <x:row r="22">
      <x:c r="A22" s="63" t="str">
        <x:v>PYT-18</x:v>
      </x:c>
      <x:c r="B22" s="64" t="str">
        <x:v>Not Started</x:v>
      </x:c>
      <x:c r="C22" s="64" t="str">
        <x:v>Medium</x:v>
      </x:c>
      <x:c r="D22" s="64" t="str">
        <x:v>Interview</x:v>
      </x:c>
      <x:c r="E22" s="64" t="str">
        <x:v>Comparison</x:v>
      </x:c>
      <x:c r="F22" s="64" t="str">
        <x:v>Compare a Bash and Python solution for the same automation problem.</x:v>
      </x:c>
      <x:c r="G22" s="64" t="str">
        <x:v>comparison.md.</x:v>
      </x:c>
      <x:c r="H22" s="64" t="str">
        <x:v>python-infra-tools</x:v>
      </x:c>
      <x:c r="I22" s="64" t="str">
        <x:v>60 min</x:v>
      </x:c>
      <x:c r="J22" s="64" t="str"/>
      <x:c r="K22" s="96"/>
      <x:c r="L22" s="96"/>
      <x:c r="M22" s="65" t="str"/>
    </x:row>
    <x:row r="23">
      <x:c r="A23" s="63" t="str">
        <x:v>PYT-19</x:v>
      </x:c>
      <x:c r="B23" s="64" t="str">
        <x:v>Not Started</x:v>
      </x:c>
      <x:c r="C23" s="64" t="str">
        <x:v>Hard</x:v>
      </x:c>
      <x:c r="D23" s="64" t="str">
        <x:v>Portfolio</x:v>
      </x:c>
      <x:c r="E23" s="64" t="str">
        <x:v>Project</x:v>
      </x:c>
      <x:c r="F23" s="64" t="str">
        <x:v>Build a CLI that checks host, Docker and Kubernetes health.</x:v>
      </x:c>
      <x:c r="G23" s="64" t="str">
        <x:v>infra-doctor repository.</x:v>
      </x:c>
      <x:c r="H23" s="64" t="str">
        <x:v>python-infra-tools</x:v>
      </x:c>
      <x:c r="I23" s="64" t="str">
        <x:v>240 min</x:v>
      </x:c>
      <x:c r="J23" s="64" t="str"/>
      <x:c r="K23" s="96"/>
      <x:c r="L23" s="96"/>
      <x:c r="M23" s="65" t="str"/>
    </x:row>
    <x:row r="24">
      <x:c r="A24" s="66" t="str">
        <x:v>PYT-20</x:v>
      </x:c>
      <x:c r="B24" s="67" t="str">
        <x:v>Not Started</x:v>
      </x:c>
      <x:c r="C24" s="67" t="str">
        <x:v>Medium</x:v>
      </x:c>
      <x:c r="D24" s="67" t="str">
        <x:v>Portfolio</x:v>
      </x:c>
      <x:c r="E24" s="67" t="str">
        <x:v>Documentation</x:v>
      </x:c>
      <x:c r="F24" s="67" t="str">
        <x:v>Add usage examples, tests and release notes to the project.</x:v>
      </x:c>
      <x:c r="G24" s="67" t="str">
        <x:v>Professional repository documentation.</x:v>
      </x:c>
      <x:c r="H24" s="67" t="str">
        <x:v>python-infra-tools</x:v>
      </x:c>
      <x:c r="I24" s="67" t="str">
        <x:v>90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45" priority="1">
      <x:formula>B5="Done"</x:formula>
    </x:cfRule>
    <x:cfRule type="expression" dxfId="46" priority="2">
      <x:formula>B5="In Progress"</x:formula>
    </x:cfRule>
    <x:cfRule type="expression" dxfId="47" priority="3">
      <x:formula>B5="Blocked"</x:formula>
    </x:cfRule>
  </x:conditionalFormatting>
  <x:conditionalFormatting sqref="C5:C24">
    <x:cfRule type="expression" dxfId="48" priority="4">
      <x:formula>C5="Hard"</x:formula>
    </x:cfRule>
    <x:cfRule type="expression" dxfId="49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42d4bd83c9443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Terraform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TER-01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Concepts</x:v>
      </x:c>
      <x:c r="F5" s="61" t="str">
        <x:v>Explain provider, resource, data source, variable, output and state.</x:v>
      </x:c>
      <x:c r="G5" s="61" t="str">
        <x:v>terraform-concepts.md.</x:v>
      </x:c>
      <x:c r="H5" s="61" t="str">
        <x:v>terraform-lab</x:v>
      </x:c>
      <x:c r="I5" s="61" t="str">
        <x:v>60 min</x:v>
      </x:c>
      <x:c r="J5" s="61" t="str"/>
      <x:c r="K5" s="95"/>
      <x:c r="L5" s="95"/>
      <x:c r="M5" s="62" t="str"/>
    </x:row>
    <x:row r="6">
      <x:c r="A6" s="63" t="str">
        <x:v>TER-02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Workflow</x:v>
      </x:c>
      <x:c r="F6" s="64" t="str">
        <x:v>Run init, fmt, validate, plan, apply and destroy in a safe lab.</x:v>
      </x:c>
      <x:c r="G6" s="64" t="str">
        <x:v>workflow notes.</x:v>
      </x:c>
      <x:c r="H6" s="64" t="str">
        <x:v>terraform-lab</x:v>
      </x:c>
      <x:c r="I6" s="64" t="str">
        <x:v>75 min</x:v>
      </x:c>
      <x:c r="J6" s="64" t="str"/>
      <x:c r="K6" s="96"/>
      <x:c r="L6" s="96"/>
      <x:c r="M6" s="65" t="str"/>
    </x:row>
    <x:row r="7">
      <x:c r="A7" s="63" t="str">
        <x:v>TER-03</x:v>
      </x:c>
      <x:c r="B7" s="64" t="str">
        <x:v>Not Started</x:v>
      </x:c>
      <x:c r="C7" s="64" t="str">
        <x:v>Easy</x:v>
      </x:c>
      <x:c r="D7" s="64" t="str">
        <x:v>Core</x:v>
      </x:c>
      <x:c r="E7" s="64" t="str">
        <x:v>Local resource</x:v>
      </x:c>
      <x:c r="F7" s="64" t="str">
        <x:v>Create a local file resource using variables.</x:v>
      </x:c>
      <x:c r="G7" s="64" t="str">
        <x:v>basic lab.</x:v>
      </x:c>
      <x:c r="H7" s="64" t="str">
        <x:v>terraform-lab</x:v>
      </x:c>
      <x:c r="I7" s="64" t="str">
        <x:v>45 min</x:v>
      </x:c>
      <x:c r="J7" s="64" t="str"/>
      <x:c r="K7" s="96"/>
      <x:c r="L7" s="96"/>
      <x:c r="M7" s="65" t="str"/>
    </x:row>
    <x:row r="8">
      <x:c r="A8" s="63" t="str">
        <x:v>TER-04</x:v>
      </x:c>
      <x:c r="B8" s="64" t="str">
        <x:v>Not Started</x:v>
      </x:c>
      <x:c r="C8" s="64" t="str">
        <x:v>Medium</x:v>
      </x:c>
      <x:c r="D8" s="64" t="str">
        <x:v>Must Know</x:v>
      </x:c>
      <x:c r="E8" s="64" t="str">
        <x:v>Variables</x:v>
      </x:c>
      <x:c r="F8" s="64" t="str">
        <x:v>Use typed variables, validation and tfvars.</x:v>
      </x:c>
      <x:c r="G8" s="64" t="str">
        <x:v>variables lab.</x:v>
      </x:c>
      <x:c r="H8" s="64" t="str">
        <x:v>terraform-lab</x:v>
      </x:c>
      <x:c r="I8" s="64" t="str">
        <x:v>75 min</x:v>
      </x:c>
      <x:c r="J8" s="64" t="str"/>
      <x:c r="K8" s="96"/>
      <x:c r="L8" s="96"/>
      <x:c r="M8" s="65" t="str"/>
    </x:row>
    <x:row r="9">
      <x:c r="A9" s="63" t="str">
        <x:v>TER-05</x:v>
      </x:c>
      <x:c r="B9" s="64" t="str">
        <x:v>Not Started</x:v>
      </x:c>
      <x:c r="C9" s="64" t="str">
        <x:v>Medium</x:v>
      </x:c>
      <x:c r="D9" s="64" t="str">
        <x:v>Core</x:v>
      </x:c>
      <x:c r="E9" s="64" t="str">
        <x:v>Outputs</x:v>
      </x:c>
      <x:c r="F9" s="64" t="str">
        <x:v>Create useful outputs and sensitive outputs.</x:v>
      </x:c>
      <x:c r="G9" s="64" t="str">
        <x:v>outputs lab.</x:v>
      </x:c>
      <x:c r="H9" s="64" t="str">
        <x:v>terraform-lab</x:v>
      </x:c>
      <x:c r="I9" s="64" t="str">
        <x:v>45 min</x:v>
      </x:c>
      <x:c r="J9" s="64" t="str"/>
      <x:c r="K9" s="96"/>
      <x:c r="L9" s="96"/>
      <x:c r="M9" s="65" t="str"/>
    </x:row>
    <x:row r="10">
      <x:c r="A10" s="63" t="str">
        <x:v>TER-06</x:v>
      </x:c>
      <x:c r="B10" s="64" t="str">
        <x:v>Not Started</x:v>
      </x:c>
      <x:c r="C10" s="64" t="str">
        <x:v>Hard</x:v>
      </x:c>
      <x:c r="D10" s="64" t="str">
        <x:v>Core</x:v>
      </x:c>
      <x:c r="E10" s="64" t="str">
        <x:v>Expressions</x:v>
      </x:c>
      <x:c r="F10" s="64" t="str">
        <x:v>Practice locals, conditionals and for expressions.</x:v>
      </x:c>
      <x:c r="G10" s="64" t="str">
        <x:v>expressions lab.</x:v>
      </x:c>
      <x:c r="H10" s="64" t="str">
        <x:v>terraform-lab</x:v>
      </x:c>
      <x:c r="I10" s="64" t="str">
        <x:v>90 min</x:v>
      </x:c>
      <x:c r="J10" s="64" t="str"/>
      <x:c r="K10" s="96"/>
      <x:c r="L10" s="96"/>
      <x:c r="M10" s="65" t="str"/>
    </x:row>
    <x:row r="11">
      <x:c r="A11" s="63" t="str">
        <x:v>TER-07</x:v>
      </x:c>
      <x:c r="B11" s="64" t="str">
        <x:v>Not Started</x:v>
      </x:c>
      <x:c r="C11" s="64" t="str">
        <x:v>Medium</x:v>
      </x:c>
      <x:c r="D11" s="64" t="str">
        <x:v>Must Know</x:v>
      </x:c>
      <x:c r="E11" s="64" t="str">
        <x:v>Count for_each</x:v>
      </x:c>
      <x:c r="F11" s="64" t="str">
        <x:v>Create multiple resources with count and for_each.</x:v>
      </x:c>
      <x:c r="G11" s="64" t="str">
        <x:v>collection lab.</x:v>
      </x:c>
      <x:c r="H11" s="64" t="str">
        <x:v>terraform-lab</x:v>
      </x:c>
      <x:c r="I11" s="64" t="str">
        <x:v>75 min</x:v>
      </x:c>
      <x:c r="J11" s="64" t="str"/>
      <x:c r="K11" s="96"/>
      <x:c r="L11" s="96"/>
      <x:c r="M11" s="65" t="str"/>
    </x:row>
    <x:row r="12">
      <x:c r="A12" s="63" t="str">
        <x:v>TER-08</x:v>
      </x:c>
      <x:c r="B12" s="64" t="str">
        <x:v>Not Started</x:v>
      </x:c>
      <x:c r="C12" s="64" t="str">
        <x:v>Medium</x:v>
      </x:c>
      <x:c r="D12" s="64" t="str">
        <x:v>Interview</x:v>
      </x:c>
      <x:c r="E12" s="64" t="str">
        <x:v>Dependencies</x:v>
      </x:c>
      <x:c r="F12" s="64" t="str">
        <x:v>Demonstrate implicit and explicit dependencies.</x:v>
      </x:c>
      <x:c r="G12" s="64" t="str">
        <x:v>dependency notes.</x:v>
      </x:c>
      <x:c r="H12" s="64" t="str">
        <x:v>terraform-lab</x:v>
      </x:c>
      <x:c r="I12" s="64" t="str">
        <x:v>60 min</x:v>
      </x:c>
      <x:c r="J12" s="64" t="str"/>
      <x:c r="K12" s="96"/>
      <x:c r="L12" s="96"/>
      <x:c r="M12" s="65" t="str"/>
    </x:row>
    <x:row r="13">
      <x:c r="A13" s="63" t="str">
        <x:v>TER-09</x:v>
      </x:c>
      <x:c r="B13" s="64" t="str">
        <x:v>Not Started</x:v>
      </x:c>
      <x:c r="C13" s="64" t="str">
        <x:v>Medium</x:v>
      </x:c>
      <x:c r="D13" s="64" t="str">
        <x:v>Must Know</x:v>
      </x:c>
      <x:c r="E13" s="64" t="str">
        <x:v>State</x:v>
      </x:c>
      <x:c r="F13" s="64" t="str">
        <x:v>Inspect state and explain why it is sensitive.</x:v>
      </x:c>
      <x:c r="G13" s="64" t="str">
        <x:v>state-lab.md.</x:v>
      </x:c>
      <x:c r="H13" s="64" t="str">
        <x:v>terraform-lab</x:v>
      </x:c>
      <x:c r="I13" s="64" t="str">
        <x:v>60 min</x:v>
      </x:c>
      <x:c r="J13" s="64" t="str"/>
      <x:c r="K13" s="96"/>
      <x:c r="L13" s="96"/>
      <x:c r="M13" s="65" t="str"/>
    </x:row>
    <x:row r="14">
      <x:c r="A14" s="63" t="str">
        <x:v>TER-10</x:v>
      </x:c>
      <x:c r="B14" s="64" t="str">
        <x:v>Not Started</x:v>
      </x:c>
      <x:c r="C14" s="64" t="str">
        <x:v>Hard</x:v>
      </x:c>
      <x:c r="D14" s="64" t="str">
        <x:v>Portfolio</x:v>
      </x:c>
      <x:c r="E14" s="64" t="str">
        <x:v>Remote state</x:v>
      </x:c>
      <x:c r="F14" s="64" t="str">
        <x:v>Configure a remote backend in a chosen cloud.</x:v>
      </x:c>
      <x:c r="G14" s="64" t="str">
        <x:v>backend configuration + README.</x:v>
      </x:c>
      <x:c r="H14" s="64" t="str">
        <x:v>terraform-lab</x:v>
      </x:c>
      <x:c r="I14" s="64" t="str">
        <x:v>120 min</x:v>
      </x:c>
      <x:c r="J14" s="64" t="str"/>
      <x:c r="K14" s="96"/>
      <x:c r="L14" s="96"/>
      <x:c r="M14" s="65" t="str"/>
    </x:row>
    <x:row r="15">
      <x:c r="A15" s="63" t="str">
        <x:v>TER-11</x:v>
      </x:c>
      <x:c r="B15" s="64" t="str">
        <x:v>Not Started</x:v>
      </x:c>
      <x:c r="C15" s="64" t="str">
        <x:v>Medium</x:v>
      </x:c>
      <x:c r="D15" s="64" t="str">
        <x:v>Interview</x:v>
      </x:c>
      <x:c r="E15" s="64" t="str">
        <x:v>Locking</x:v>
      </x:c>
      <x:c r="F15" s="64" t="str">
        <x:v>Explain state locking and concurrent change risks.</x:v>
      </x:c>
      <x:c r="G15" s="64" t="str">
        <x:v>locking scenario.md.</x:v>
      </x:c>
      <x:c r="H15" s="64" t="str">
        <x:v>terraform-lab</x:v>
      </x:c>
      <x:c r="I15" s="64" t="str">
        <x:v>45 min</x:v>
      </x:c>
      <x:c r="J15" s="64" t="str"/>
      <x:c r="K15" s="96"/>
      <x:c r="L15" s="96"/>
      <x:c r="M15" s="65" t="str"/>
    </x:row>
    <x:row r="16">
      <x:c r="A16" s="63" t="str">
        <x:v>TER-12</x:v>
      </x:c>
      <x:c r="B16" s="64" t="str">
        <x:v>Not Started</x:v>
      </x:c>
      <x:c r="C16" s="64" t="str">
        <x:v>Hard</x:v>
      </x:c>
      <x:c r="D16" s="64" t="str">
        <x:v>Core</x:v>
      </x:c>
      <x:c r="E16" s="64" t="str">
        <x:v>Import</x:v>
      </x:c>
      <x:c r="F16" s="64" t="str">
        <x:v>Import an existing resource into state.</x:v>
      </x:c>
      <x:c r="G16" s="64" t="str">
        <x:v>import walkthrough.</x:v>
      </x:c>
      <x:c r="H16" s="64" t="str">
        <x:v>terraform-lab</x:v>
      </x:c>
      <x:c r="I16" s="64" t="str">
        <x:v>90 min</x:v>
      </x:c>
      <x:c r="J16" s="64" t="str"/>
      <x:c r="K16" s="96"/>
      <x:c r="L16" s="96"/>
      <x:c r="M16" s="65" t="str"/>
    </x:row>
    <x:row r="17">
      <x:c r="A17" s="63" t="str">
        <x:v>TER-13</x:v>
      </x:c>
      <x:c r="B17" s="64" t="str">
        <x:v>Not Started</x:v>
      </x:c>
      <x:c r="C17" s="64" t="str">
        <x:v>Hard</x:v>
      </x:c>
      <x:c r="D17" s="64" t="str">
        <x:v>Advanced</x:v>
      </x:c>
      <x:c r="E17" s="64" t="str">
        <x:v>Move</x:v>
      </x:c>
      <x:c r="F17" s="64" t="str">
        <x:v>Use moved blocks or state mv safely.</x:v>
      </x:c>
      <x:c r="G17" s="64" t="str">
        <x:v>refactor walkthrough.</x:v>
      </x:c>
      <x:c r="H17" s="64" t="str">
        <x:v>terraform-lab</x:v>
      </x:c>
      <x:c r="I17" s="64" t="str">
        <x:v>90 min</x:v>
      </x:c>
      <x:c r="J17" s="64" t="str"/>
      <x:c r="K17" s="96"/>
      <x:c r="L17" s="96"/>
      <x:c r="M17" s="65" t="str"/>
    </x:row>
    <x:row r="18">
      <x:c r="A18" s="63" t="str">
        <x:v>TER-14</x:v>
      </x:c>
      <x:c r="B18" s="64" t="str">
        <x:v>Not Started</x:v>
      </x:c>
      <x:c r="C18" s="64" t="str">
        <x:v>Hard</x:v>
      </x:c>
      <x:c r="D18" s="64" t="str">
        <x:v>Must Know</x:v>
      </x:c>
      <x:c r="E18" s="64" t="str">
        <x:v>Modules</x:v>
      </x:c>
      <x:c r="F18" s="64" t="str">
        <x:v>Create a reusable network or VM module.</x:v>
      </x:c>
      <x:c r="G18" s="64" t="str">
        <x:v>module repository.</x:v>
      </x:c>
      <x:c r="H18" s="64" t="str">
        <x:v>terraform-lab</x:v>
      </x:c>
      <x:c r="I18" s="64" t="str">
        <x:v>150 min</x:v>
      </x:c>
      <x:c r="J18" s="64" t="str"/>
      <x:c r="K18" s="96"/>
      <x:c r="L18" s="96"/>
      <x:c r="M18" s="65" t="str"/>
    </x:row>
    <x:row r="19">
      <x:c r="A19" s="63" t="str">
        <x:v>TER-15</x:v>
      </x:c>
      <x:c r="B19" s="64" t="str">
        <x:v>Not Started</x:v>
      </x:c>
      <x:c r="C19" s="64" t="str">
        <x:v>Hard</x:v>
      </x:c>
      <x:c r="D19" s="64" t="str">
        <x:v>Portfolio</x:v>
      </x:c>
      <x:c r="E19" s="64" t="str">
        <x:v>Module usage</x:v>
      </x:c>
      <x:c r="F19" s="64" t="str">
        <x:v>Call the module for dev and test environments.</x:v>
      </x:c>
      <x:c r="G19" s="64" t="str">
        <x:v>environment examples.</x:v>
      </x:c>
      <x:c r="H19" s="64" t="str">
        <x:v>terraform-lab</x:v>
      </x:c>
      <x:c r="I19" s="64" t="str">
        <x:v>120 min</x:v>
      </x:c>
      <x:c r="J19" s="64" t="str"/>
      <x:c r="K19" s="96"/>
      <x:c r="L19" s="96"/>
      <x:c r="M19" s="65" t="str"/>
    </x:row>
    <x:row r="20">
      <x:c r="A20" s="63" t="str">
        <x:v>TER-16</x:v>
      </x:c>
      <x:c r="B20" s="64" t="str">
        <x:v>Not Started</x:v>
      </x:c>
      <x:c r="C20" s="64" t="str">
        <x:v>Medium</x:v>
      </x:c>
      <x:c r="D20" s="64" t="str">
        <x:v>Security</x:v>
      </x:c>
      <x:c r="E20" s="64" t="str">
        <x:v>Security</x:v>
      </x:c>
      <x:c r="F20" s="64" t="str">
        <x:v>Prevent secrets from being committed and mark sensitive values.</x:v>
      </x:c>
      <x:c r="G20" s="64" t="str">
        <x:v>security checklist.</x:v>
      </x:c>
      <x:c r="H20" s="64" t="str">
        <x:v>terraform-lab</x:v>
      </x:c>
      <x:c r="I20" s="64" t="str">
        <x:v>60 min</x:v>
      </x:c>
      <x:c r="J20" s="64" t="str"/>
      <x:c r="K20" s="96"/>
      <x:c r="L20" s="96"/>
      <x:c r="M20" s="65" t="str"/>
    </x:row>
    <x:row r="21">
      <x:c r="A21" s="63" t="str">
        <x:v>TER-17</x:v>
      </x:c>
      <x:c r="B21" s="64" t="str">
        <x:v>Not Started</x:v>
      </x:c>
      <x:c r="C21" s="64" t="str">
        <x:v>Medium</x:v>
      </x:c>
      <x:c r="D21" s="64" t="str">
        <x:v>Portfolio</x:v>
      </x:c>
      <x:c r="E21" s="64" t="str">
        <x:v>CI</x:v>
      </x:c>
      <x:c r="F21" s="64" t="str">
        <x:v>Add fmt and validate checks to GitHub Actions.</x:v>
      </x:c>
      <x:c r="G21" s="64" t="str">
        <x:v>CI workflow.</x:v>
      </x:c>
      <x:c r="H21" s="64" t="str">
        <x:v>terraform-lab</x:v>
      </x:c>
      <x:c r="I21" s="64" t="str">
        <x:v>75 min</x:v>
      </x:c>
      <x:c r="J21" s="64" t="str"/>
      <x:c r="K21" s="96"/>
      <x:c r="L21" s="96"/>
      <x:c r="M21" s="65" t="str"/>
    </x:row>
    <x:row r="22">
      <x:c r="A22" s="63" t="str">
        <x:v>TER-18</x:v>
      </x:c>
      <x:c r="B22" s="64" t="str">
        <x:v>Not Started</x:v>
      </x:c>
      <x:c r="C22" s="64" t="str">
        <x:v>Hard</x:v>
      </x:c>
      <x:c r="D22" s="64" t="str">
        <x:v>SRE</x:v>
      </x:c>
      <x:c r="E22" s="64" t="str">
        <x:v>Plan review</x:v>
      </x:c>
      <x:c r="F22" s="64" t="str">
        <x:v>Review a plan for destructive changes and write approval notes.</x:v>
      </x:c>
      <x:c r="G22" s="64" t="str">
        <x:v>plan-review.md.</x:v>
      </x:c>
      <x:c r="H22" s="64" t="str">
        <x:v>terraform-lab</x:v>
      </x:c>
      <x:c r="I22" s="64" t="str">
        <x:v>75 min</x:v>
      </x:c>
      <x:c r="J22" s="64" t="str"/>
      <x:c r="K22" s="96"/>
      <x:c r="L22" s="96"/>
      <x:c r="M22" s="65" t="str"/>
    </x:row>
    <x:row r="23">
      <x:c r="A23" s="63" t="str">
        <x:v>TER-19</x:v>
      </x:c>
      <x:c r="B23" s="64" t="str">
        <x:v>Not Started</x:v>
      </x:c>
      <x:c r="C23" s="64" t="str">
        <x:v>Hard</x:v>
      </x:c>
      <x:c r="D23" s="64" t="str">
        <x:v>Portfolio</x:v>
      </x:c>
      <x:c r="E23" s="64" t="str">
        <x:v>Cloud project</x:v>
      </x:c>
      <x:c r="F23" s="64" t="str">
        <x:v>Provision a small cloud network and VM or managed service.</x:v>
      </x:c>
      <x:c r="G23" s="64" t="str">
        <x:v>Complete IaC repository.</x:v>
      </x:c>
      <x:c r="H23" s="64" t="str">
        <x:v>terraform-lab</x:v>
      </x:c>
      <x:c r="I23" s="64" t="str">
        <x:v>240 min</x:v>
      </x:c>
      <x:c r="J23" s="64" t="str"/>
      <x:c r="K23" s="96"/>
      <x:c r="L23" s="96"/>
      <x:c r="M23" s="65" t="str"/>
    </x:row>
    <x:row r="24">
      <x:c r="A24" s="66" t="str">
        <x:v>TER-20</x:v>
      </x:c>
      <x:c r="B24" s="67" t="str">
        <x:v>Not Started</x:v>
      </x:c>
      <x:c r="C24" s="67" t="str">
        <x:v>Medium</x:v>
      </x:c>
      <x:c r="D24" s="67" t="str">
        <x:v>Portfolio</x:v>
      </x:c>
      <x:c r="E24" s="67" t="str">
        <x:v>Documentation</x:v>
      </x:c>
      <x:c r="F24" s="67" t="str">
        <x:v>Add architecture diagram, inputs, outputs and teardown steps.</x:v>
      </x:c>
      <x:c r="G24" s="67" t="str">
        <x:v>Professional Terraform README.</x:v>
      </x:c>
      <x:c r="H24" s="67" t="str">
        <x:v>terraform-lab</x:v>
      </x:c>
      <x:c r="I24" s="67" t="str">
        <x:v>90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50" priority="1">
      <x:formula>B5="Done"</x:formula>
    </x:cfRule>
    <x:cfRule type="expression" dxfId="51" priority="2">
      <x:formula>B5="In Progress"</x:formula>
    </x:cfRule>
    <x:cfRule type="expression" dxfId="52" priority="3">
      <x:formula>B5="Blocked"</x:formula>
    </x:cfRule>
  </x:conditionalFormatting>
  <x:conditionalFormatting sqref="C5:C24">
    <x:cfRule type="expression" dxfId="53" priority="4">
      <x:formula>C5="Hard"</x:formula>
    </x:cfRule>
    <x:cfRule type="expression" dxfId="54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4c9fa0bd5e4e0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3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14" hidden="0" customWidth="1"/>
    <x:col min="10" max="10" width="28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5" t="str">
        <x:v>CI-CD — Practical Tasks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2" t="str">
        <x:v>Zasada: wykonaj zadanie, opisz rezultat, wrzuć artefakt do repozytorium i dopiero wtedy oznacz je jako Done.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6" t="str">
        <x:v>ID</x:v>
      </x:c>
      <x:c r="B4" s="27" t="str">
        <x:v>Status</x:v>
      </x:c>
      <x:c r="C4" s="27" t="str">
        <x:v>Difficulty</x:v>
      </x:c>
      <x:c r="D4" s="27" t="str">
        <x:v>Priority</x:v>
      </x:c>
      <x:c r="E4" s="27" t="str">
        <x:v>Topic</x:v>
      </x:c>
      <x:c r="F4" s="27" t="str">
        <x:v>Concrete Task</x:v>
      </x:c>
      <x:c r="G4" s="27" t="str">
        <x:v>Expected GitHub Artifact</x:v>
      </x:c>
      <x:c r="H4" s="27" t="str">
        <x:v>Suggested Repo</x:v>
      </x:c>
      <x:c r="I4" s="27" t="str">
        <x:v>Estimated Time</x:v>
      </x:c>
      <x:c r="J4" s="27" t="str">
        <x:v>GitHub URL</x:v>
      </x:c>
      <x:c r="K4" s="27" t="str">
        <x:v>Started</x:v>
      </x:c>
      <x:c r="L4" s="27" t="str">
        <x:v>Completed</x:v>
      </x:c>
      <x:c r="M4" s="28" t="str">
        <x:v>Notes / Review</x:v>
      </x:c>
    </x:row>
    <x:row r="5">
      <x:c r="A5" s="60" t="str">
        <x:v>CI--01</x:v>
      </x:c>
      <x:c r="B5" s="61" t="str">
        <x:v>Not Started</x:v>
      </x:c>
      <x:c r="C5" s="61" t="str">
        <x:v>Easy</x:v>
      </x:c>
      <x:c r="D5" s="61" t="str">
        <x:v>Must Know</x:v>
      </x:c>
      <x:c r="E5" s="61" t="str">
        <x:v>Concepts</x:v>
      </x:c>
      <x:c r="F5" s="61" t="str">
        <x:v>Explain CI, Continuous Delivery and Continuous Deployment.</x:v>
      </x:c>
      <x:c r="G5" s="61" t="str">
        <x:v>ci-cd-concepts.md.</x:v>
      </x:c>
      <x:c r="H5" s="61" t="str">
        <x:v>cicd-lab</x:v>
      </x:c>
      <x:c r="I5" s="61" t="str">
        <x:v>45 min</x:v>
      </x:c>
      <x:c r="J5" s="61" t="str"/>
      <x:c r="K5" s="95"/>
      <x:c r="L5" s="95"/>
      <x:c r="M5" s="62" t="str"/>
    </x:row>
    <x:row r="6">
      <x:c r="A6" s="63" t="str">
        <x:v>CI--02</x:v>
      </x:c>
      <x:c r="B6" s="64" t="str">
        <x:v>Not Started</x:v>
      </x:c>
      <x:c r="C6" s="64" t="str">
        <x:v>Easy</x:v>
      </x:c>
      <x:c r="D6" s="64" t="str">
        <x:v>Must Know</x:v>
      </x:c>
      <x:c r="E6" s="64" t="str">
        <x:v>Pipeline</x:v>
      </x:c>
      <x:c r="F6" s="64" t="str">
        <x:v>Draw a build-test-package-deploy pipeline for the demo app.</x:v>
      </x:c>
      <x:c r="G6" s="64" t="str">
        <x:v>pipeline diagram.</x:v>
      </x:c>
      <x:c r="H6" s="64" t="str">
        <x:v>cicd-lab</x:v>
      </x:c>
      <x:c r="I6" s="64" t="str">
        <x:v>45 min</x:v>
      </x:c>
      <x:c r="J6" s="64" t="str"/>
      <x:c r="K6" s="96"/>
      <x:c r="L6" s="96"/>
      <x:c r="M6" s="65" t="str"/>
    </x:row>
    <x:row r="7">
      <x:c r="A7" s="63" t="str">
        <x:v>CI--03</x:v>
      </x:c>
      <x:c r="B7" s="64" t="str">
        <x:v>Not Started</x:v>
      </x:c>
      <x:c r="C7" s="64" t="str">
        <x:v>Medium</x:v>
      </x:c>
      <x:c r="D7" s="64" t="str">
        <x:v>Portfolio</x:v>
      </x:c>
      <x:c r="E7" s="64" t="str">
        <x:v>GitHub Actions</x:v>
      </x:c>
      <x:c r="F7" s="64" t="str">
        <x:v>Run ShellCheck on Bash scripts for every pull request.</x:v>
      </x:c>
      <x:c r="G7" s="64" t="str">
        <x:v>workflow YAML.</x:v>
      </x:c>
      <x:c r="H7" s="64" t="str">
        <x:v>cicd-lab</x:v>
      </x:c>
      <x:c r="I7" s="64" t="str">
        <x:v>75 min</x:v>
      </x:c>
      <x:c r="J7" s="64" t="str"/>
      <x:c r="K7" s="96"/>
      <x:c r="L7" s="96"/>
      <x:c r="M7" s="65" t="str"/>
    </x:row>
    <x:row r="8">
      <x:c r="A8" s="63" t="str">
        <x:v>CI--04</x:v>
      </x:c>
      <x:c r="B8" s="64" t="str">
        <x:v>Not Started</x:v>
      </x:c>
      <x:c r="C8" s="64" t="str">
        <x:v>Medium</x:v>
      </x:c>
      <x:c r="D8" s="64" t="str">
        <x:v>Core</x:v>
      </x:c>
      <x:c r="E8" s="64" t="str">
        <x:v>Python CI</x:v>
      </x:c>
      <x:c r="F8" s="64" t="str">
        <x:v>Run pytest and linting for Python tools.</x:v>
      </x:c>
      <x:c r="G8" s="64" t="str">
        <x:v>workflow YAML.</x:v>
      </x:c>
      <x:c r="H8" s="64" t="str">
        <x:v>cicd-lab</x:v>
      </x:c>
      <x:c r="I8" s="64" t="str">
        <x:v>75 min</x:v>
      </x:c>
      <x:c r="J8" s="64" t="str"/>
      <x:c r="K8" s="96"/>
      <x:c r="L8" s="96"/>
      <x:c r="M8" s="65" t="str"/>
    </x:row>
    <x:row r="9">
      <x:c r="A9" s="63" t="str">
        <x:v>CI--05</x:v>
      </x:c>
      <x:c r="B9" s="64" t="str">
        <x:v>Not Started</x:v>
      </x:c>
      <x:c r="C9" s="64" t="str">
        <x:v>Medium</x:v>
      </x:c>
      <x:c r="D9" s="64" t="str">
        <x:v>Must Know</x:v>
      </x:c>
      <x:c r="E9" s="64" t="str">
        <x:v>Docker build</x:v>
      </x:c>
      <x:c r="F9" s="64" t="str">
        <x:v>Build a Docker image in CI.</x:v>
      </x:c>
      <x:c r="G9" s="64" t="str">
        <x:v>workflow YAML.</x:v>
      </x:c>
      <x:c r="H9" s="64" t="str">
        <x:v>cicd-lab</x:v>
      </x:c>
      <x:c r="I9" s="64" t="str">
        <x:v>90 min</x:v>
      </x:c>
      <x:c r="J9" s="64" t="str"/>
      <x:c r="K9" s="96"/>
      <x:c r="L9" s="96"/>
      <x:c r="M9" s="65" t="str"/>
    </x:row>
    <x:row r="10">
      <x:c r="A10" s="63" t="str">
        <x:v>CI--06</x:v>
      </x:c>
      <x:c r="B10" s="64" t="str">
        <x:v>Not Started</x:v>
      </x:c>
      <x:c r="C10" s="64" t="str">
        <x:v>Hard</x:v>
      </x:c>
      <x:c r="D10" s="64" t="str">
        <x:v>Portfolio</x:v>
      </x:c>
      <x:c r="E10" s="64" t="str">
        <x:v>Registry</x:v>
      </x:c>
      <x:c r="F10" s="64" t="str">
        <x:v>Push tagged images to GHCR.</x:v>
      </x:c>
      <x:c r="G10" s="64" t="str">
        <x:v>release workflow.</x:v>
      </x:c>
      <x:c r="H10" s="64" t="str">
        <x:v>cicd-lab</x:v>
      </x:c>
      <x:c r="I10" s="64" t="str">
        <x:v>120 min</x:v>
      </x:c>
      <x:c r="J10" s="64" t="str"/>
      <x:c r="K10" s="96"/>
      <x:c r="L10" s="96"/>
      <x:c r="M10" s="65" t="str"/>
    </x:row>
    <x:row r="11">
      <x:c r="A11" s="63" t="str">
        <x:v>CI--07</x:v>
      </x:c>
      <x:c r="B11" s="64" t="str">
        <x:v>Not Started</x:v>
      </x:c>
      <x:c r="C11" s="64" t="str">
        <x:v>Hard</x:v>
      </x:c>
      <x:c r="D11" s="64" t="str">
        <x:v>Interview</x:v>
      </x:c>
      <x:c r="E11" s="64" t="str">
        <x:v>Caching</x:v>
      </x:c>
      <x:c r="F11" s="64" t="str">
        <x:v>Cache dependencies or Docker layers and measure improvement.</x:v>
      </x:c>
      <x:c r="G11" s="64" t="str">
        <x:v>cache report.</x:v>
      </x:c>
      <x:c r="H11" s="64" t="str">
        <x:v>cicd-lab</x:v>
      </x:c>
      <x:c r="I11" s="64" t="str">
        <x:v>90 min</x:v>
      </x:c>
      <x:c r="J11" s="64" t="str"/>
      <x:c r="K11" s="96"/>
      <x:c r="L11" s="96"/>
      <x:c r="M11" s="65" t="str"/>
    </x:row>
    <x:row r="12">
      <x:c r="A12" s="63" t="str">
        <x:v>CI--08</x:v>
      </x:c>
      <x:c r="B12" s="64" t="str">
        <x:v>Not Started</x:v>
      </x:c>
      <x:c r="C12" s="64" t="str">
        <x:v>Medium</x:v>
      </x:c>
      <x:c r="D12" s="64" t="str">
        <x:v>Core</x:v>
      </x:c>
      <x:c r="E12" s="64" t="str">
        <x:v>Artifacts</x:v>
      </x:c>
      <x:c r="F12" s="64" t="str">
        <x:v>Publish test reports or build artifacts.</x:v>
      </x:c>
      <x:c r="G12" s="64" t="str">
        <x:v>artifact workflow.</x:v>
      </x:c>
      <x:c r="H12" s="64" t="str">
        <x:v>cicd-lab</x:v>
      </x:c>
      <x:c r="I12" s="64" t="str">
        <x:v>75 min</x:v>
      </x:c>
      <x:c r="J12" s="64" t="str"/>
      <x:c r="K12" s="96"/>
      <x:c r="L12" s="96"/>
      <x:c r="M12" s="65" t="str"/>
    </x:row>
    <x:row r="13">
      <x:c r="A13" s="63" t="str">
        <x:v>CI--09</x:v>
      </x:c>
      <x:c r="B13" s="64" t="str">
        <x:v>Not Started</x:v>
      </x:c>
      <x:c r="C13" s="64" t="str">
        <x:v>Medium</x:v>
      </x:c>
      <x:c r="D13" s="64" t="str">
        <x:v>Security</x:v>
      </x:c>
      <x:c r="E13" s="64" t="str">
        <x:v>Secrets</x:v>
      </x:c>
      <x:c r="F13" s="64" t="str">
        <x:v>Use repository/environment secrets without printing them.</x:v>
      </x:c>
      <x:c r="G13" s="64" t="str">
        <x:v>secure workflow + notes.</x:v>
      </x:c>
      <x:c r="H13" s="64" t="str">
        <x:v>cicd-lab</x:v>
      </x:c>
      <x:c r="I13" s="64" t="str">
        <x:v>75 min</x:v>
      </x:c>
      <x:c r="J13" s="64" t="str"/>
      <x:c r="K13" s="96"/>
      <x:c r="L13" s="96"/>
      <x:c r="M13" s="65" t="str"/>
    </x:row>
    <x:row r="14">
      <x:c r="A14" s="63" t="str">
        <x:v>CI--10</x:v>
      </x:c>
      <x:c r="B14" s="64" t="str">
        <x:v>Not Started</x:v>
      </x:c>
      <x:c r="C14" s="64" t="str">
        <x:v>Hard</x:v>
      </x:c>
      <x:c r="D14" s="64" t="str">
        <x:v>Core</x:v>
      </x:c>
      <x:c r="E14" s="64" t="str">
        <x:v>Environments</x:v>
      </x:c>
      <x:c r="F14" s="64" t="str">
        <x:v>Configure development and production environments.</x:v>
      </x:c>
      <x:c r="G14" s="64" t="str">
        <x:v>environment configuration.</x:v>
      </x:c>
      <x:c r="H14" s="64" t="str">
        <x:v>cicd-lab</x:v>
      </x:c>
      <x:c r="I14" s="64" t="str">
        <x:v>90 min</x:v>
      </x:c>
      <x:c r="J14" s="64" t="str"/>
      <x:c r="K14" s="96"/>
      <x:c r="L14" s="96"/>
      <x:c r="M14" s="65" t="str"/>
    </x:row>
    <x:row r="15">
      <x:c r="A15" s="63" t="str">
        <x:v>CI--11</x:v>
      </x:c>
      <x:c r="B15" s="64" t="str">
        <x:v>Not Started</x:v>
      </x:c>
      <x:c r="C15" s="64" t="str">
        <x:v>Hard</x:v>
      </x:c>
      <x:c r="D15" s="64" t="str">
        <x:v>Must Know</x:v>
      </x:c>
      <x:c r="E15" s="64" t="str">
        <x:v>Approval</x:v>
      </x:c>
      <x:c r="F15" s="64" t="str">
        <x:v>Require manual approval before production deployment.</x:v>
      </x:c>
      <x:c r="G15" s="64" t="str">
        <x:v>documented deployment gate.</x:v>
      </x:c>
      <x:c r="H15" s="64" t="str">
        <x:v>cicd-lab</x:v>
      </x:c>
      <x:c r="I15" s="64" t="str">
        <x:v>90 min</x:v>
      </x:c>
      <x:c r="J15" s="64" t="str"/>
      <x:c r="K15" s="96"/>
      <x:c r="L15" s="96"/>
      <x:c r="M15" s="65" t="str"/>
    </x:row>
    <x:row r="16">
      <x:c r="A16" s="63" t="str">
        <x:v>CI--12</x:v>
      </x:c>
      <x:c r="B16" s="64" t="str">
        <x:v>Not Started</x:v>
      </x:c>
      <x:c r="C16" s="64" t="str">
        <x:v>Medium</x:v>
      </x:c>
      <x:c r="D16" s="64" t="str">
        <x:v>Core</x:v>
      </x:c>
      <x:c r="E16" s="64" t="str">
        <x:v>Matrix</x:v>
      </x:c>
      <x:c r="F16" s="64" t="str">
        <x:v>Run tests across multiple language versions.</x:v>
      </x:c>
      <x:c r="G16" s="64" t="str">
        <x:v>matrix workflow.</x:v>
      </x:c>
      <x:c r="H16" s="64" t="str">
        <x:v>cicd-lab</x:v>
      </x:c>
      <x:c r="I16" s="64" t="str">
        <x:v>75 min</x:v>
      </x:c>
      <x:c r="J16" s="64" t="str"/>
      <x:c r="K16" s="96"/>
      <x:c r="L16" s="96"/>
      <x:c r="M16" s="65" t="str"/>
    </x:row>
    <x:row r="17">
      <x:c r="A17" s="63" t="str">
        <x:v>CI--13</x:v>
      </x:c>
      <x:c r="B17" s="64" t="str">
        <x:v>Not Started</x:v>
      </x:c>
      <x:c r="C17" s="64" t="str">
        <x:v>Medium</x:v>
      </x:c>
      <x:c r="D17" s="64" t="str">
        <x:v>Core</x:v>
      </x:c>
      <x:c r="E17" s="64" t="str">
        <x:v>Conditions</x:v>
      </x:c>
      <x:c r="F17" s="64" t="str">
        <x:v>Run jobs based on branch, path or previous result.</x:v>
      </x:c>
      <x:c r="G17" s="64" t="str">
        <x:v>conditional workflow.</x:v>
      </x:c>
      <x:c r="H17" s="64" t="str">
        <x:v>cicd-lab</x:v>
      </x:c>
      <x:c r="I17" s="64" t="str">
        <x:v>75 min</x:v>
      </x:c>
      <x:c r="J17" s="64" t="str"/>
      <x:c r="K17" s="96"/>
      <x:c r="L17" s="96"/>
      <x:c r="M17" s="65" t="str"/>
    </x:row>
    <x:row r="18">
      <x:c r="A18" s="63" t="str">
        <x:v>CI--14</x:v>
      </x:c>
      <x:c r="B18" s="64" t="str">
        <x:v>Not Started</x:v>
      </x:c>
      <x:c r="C18" s="64" t="str">
        <x:v>Hard</x:v>
      </x:c>
      <x:c r="D18" s="64" t="str">
        <x:v>Portfolio</x:v>
      </x:c>
      <x:c r="E18" s="64" t="str">
        <x:v>Versioning</x:v>
      </x:c>
      <x:c r="F18" s="64" t="str">
        <x:v>Create semantic tags and image tags from releases.</x:v>
      </x:c>
      <x:c r="G18" s="64" t="str">
        <x:v>release automation.</x:v>
      </x:c>
      <x:c r="H18" s="64" t="str">
        <x:v>cicd-lab</x:v>
      </x:c>
      <x:c r="I18" s="64" t="str">
        <x:v>120 min</x:v>
      </x:c>
      <x:c r="J18" s="64" t="str"/>
      <x:c r="K18" s="96"/>
      <x:c r="L18" s="96"/>
      <x:c r="M18" s="65" t="str"/>
    </x:row>
    <x:row r="19">
      <x:c r="A19" s="63" t="str">
        <x:v>CI--15</x:v>
      </x:c>
      <x:c r="B19" s="64" t="str">
        <x:v>Not Started</x:v>
      </x:c>
      <x:c r="C19" s="64" t="str">
        <x:v>Hard</x:v>
      </x:c>
      <x:c r="D19" s="64" t="str">
        <x:v>Portfolio</x:v>
      </x:c>
      <x:c r="E19" s="64" t="str">
        <x:v>Kubernetes deploy</x:v>
      </x:c>
      <x:c r="F19" s="64" t="str">
        <x:v>Deploy manifests or Helm chart from pipeline.</x:v>
      </x:c>
      <x:c r="G19" s="64" t="str">
        <x:v>deployment workflow.</x:v>
      </x:c>
      <x:c r="H19" s="64" t="str">
        <x:v>cicd-lab</x:v>
      </x:c>
      <x:c r="I19" s="64" t="str">
        <x:v>150 min</x:v>
      </x:c>
      <x:c r="J19" s="64" t="str"/>
      <x:c r="K19" s="96"/>
      <x:c r="L19" s="96"/>
      <x:c r="M19" s="65" t="str"/>
    </x:row>
    <x:row r="20">
      <x:c r="A20" s="63" t="str">
        <x:v>CI--16</x:v>
      </x:c>
      <x:c r="B20" s="64" t="str">
        <x:v>Not Started</x:v>
      </x:c>
      <x:c r="C20" s="64" t="str">
        <x:v>Hard</x:v>
      </x:c>
      <x:c r="D20" s="64" t="str">
        <x:v>SRE</x:v>
      </x:c>
      <x:c r="E20" s="64" t="str">
        <x:v>Rollback</x:v>
      </x:c>
      <x:c r="F20" s="64" t="str">
        <x:v>Define and test rollback after a failed deployment.</x:v>
      </x:c>
      <x:c r="G20" s="64" t="str">
        <x:v>rollback runbook + workflow.</x:v>
      </x:c>
      <x:c r="H20" s="64" t="str">
        <x:v>cicd-lab</x:v>
      </x:c>
      <x:c r="I20" s="64" t="str">
        <x:v>120 min</x:v>
      </x:c>
      <x:c r="J20" s="64" t="str"/>
      <x:c r="K20" s="96"/>
      <x:c r="L20" s="96"/>
      <x:c r="M20" s="65" t="str"/>
    </x:row>
    <x:row r="21">
      <x:c r="A21" s="63" t="str">
        <x:v>CI--17</x:v>
      </x:c>
      <x:c r="B21" s="64" t="str">
        <x:v>Not Started</x:v>
      </x:c>
      <x:c r="C21" s="64" t="str">
        <x:v>Medium</x:v>
      </x:c>
      <x:c r="D21" s="64" t="str">
        <x:v>Core</x:v>
      </x:c>
      <x:c r="E21" s="64" t="str">
        <x:v>Notifications</x:v>
      </x:c>
      <x:c r="F21" s="64" t="str">
        <x:v>Send a deployment result notification.</x:v>
      </x:c>
      <x:c r="G21" s="64" t="str">
        <x:v>notification workflow.</x:v>
      </x:c>
      <x:c r="H21" s="64" t="str">
        <x:v>cicd-lab</x:v>
      </x:c>
      <x:c r="I21" s="64" t="str">
        <x:v>60 min</x:v>
      </x:c>
      <x:c r="J21" s="64" t="str"/>
      <x:c r="K21" s="96"/>
      <x:c r="L21" s="96"/>
      <x:c r="M21" s="65" t="str"/>
    </x:row>
    <x:row r="22">
      <x:c r="A22" s="63" t="str">
        <x:v>CI--18</x:v>
      </x:c>
      <x:c r="B22" s="64" t="str">
        <x:v>Not Started</x:v>
      </x:c>
      <x:c r="C22" s="64" t="str">
        <x:v>Hard</x:v>
      </x:c>
      <x:c r="D22" s="64" t="str">
        <x:v>Security</x:v>
      </x:c>
      <x:c r="E22" s="64" t="str">
        <x:v>Supply chain</x:v>
      </x:c>
      <x:c r="F22" s="64" t="str">
        <x:v>Generate an SBOM or scan dependencies/images.</x:v>
      </x:c>
      <x:c r="G22" s="64" t="str">
        <x:v>security workflow.</x:v>
      </x:c>
      <x:c r="H22" s="64" t="str">
        <x:v>cicd-lab</x:v>
      </x:c>
      <x:c r="I22" s="64" t="str">
        <x:v>120 min</x:v>
      </x:c>
      <x:c r="J22" s="64" t="str"/>
      <x:c r="K22" s="96"/>
      <x:c r="L22" s="96"/>
      <x:c r="M22" s="65" t="str"/>
    </x:row>
    <x:row r="23">
      <x:c r="A23" s="63" t="str">
        <x:v>CI--19</x:v>
      </x:c>
      <x:c r="B23" s="64" t="str">
        <x:v>Not Started</x:v>
      </x:c>
      <x:c r="C23" s="64" t="str">
        <x:v>Hard</x:v>
      </x:c>
      <x:c r="D23" s="64" t="str">
        <x:v>Portfolio</x:v>
      </x:c>
      <x:c r="E23" s="64" t="str">
        <x:v>Project</x:v>
      </x:c>
      <x:c r="F23" s="64" t="str">
        <x:v>Build complete CI/CD from commit to Kubernetes deployment.</x:v>
      </x:c>
      <x:c r="G23" s="64" t="str">
        <x:v>Complete repository and diagram.</x:v>
      </x:c>
      <x:c r="H23" s="64" t="str">
        <x:v>cicd-lab</x:v>
      </x:c>
      <x:c r="I23" s="64" t="str">
        <x:v>300 min</x:v>
      </x:c>
      <x:c r="J23" s="64" t="str"/>
      <x:c r="K23" s="96"/>
      <x:c r="L23" s="96"/>
      <x:c r="M23" s="65" t="str"/>
    </x:row>
    <x:row r="24">
      <x:c r="A24" s="66" t="str">
        <x:v>CI--20</x:v>
      </x:c>
      <x:c r="B24" s="67" t="str">
        <x:v>Not Started</x:v>
      </x:c>
      <x:c r="C24" s="67" t="str">
        <x:v>Medium</x:v>
      </x:c>
      <x:c r="D24" s="67" t="str">
        <x:v>Interview</x:v>
      </x:c>
      <x:c r="E24" s="67" t="str">
        <x:v>Interview</x:v>
      </x:c>
      <x:c r="F24" s="67" t="str">
        <x:v>Explain pipeline failure troubleshooting using a real failed run.</x:v>
      </x:c>
      <x:c r="G24" s="67" t="str">
        <x:v>pipeline RCA.</x:v>
      </x:c>
      <x:c r="H24" s="67" t="str">
        <x:v>cicd-lab</x:v>
      </x:c>
      <x:c r="I24" s="67" t="str">
        <x:v>75 min</x:v>
      </x:c>
      <x:c r="J24" s="67" t="str"/>
      <x:c r="K24" s="97"/>
      <x:c r="L24" s="97"/>
      <x:c r="M24" s="68" t="str"/>
    </x:row>
  </x:sheetData>
  <x:mergeCells>
    <x:mergeCell ref="A1:M1"/>
    <x:mergeCell ref="A2:M2"/>
  </x:mergeCells>
  <x:conditionalFormatting sqref="B5:B24">
    <x:cfRule type="expression" dxfId="55" priority="1">
      <x:formula>B5="Done"</x:formula>
    </x:cfRule>
    <x:cfRule type="expression" dxfId="56" priority="2">
      <x:formula>B5="In Progress"</x:formula>
    </x:cfRule>
    <x:cfRule type="expression" dxfId="57" priority="3">
      <x:formula>B5="Blocked"</x:formula>
    </x:cfRule>
  </x:conditionalFormatting>
  <x:conditionalFormatting sqref="C5:C24">
    <x:cfRule type="expression" dxfId="58" priority="4">
      <x:formula>C5="Hard"</x:formula>
    </x:cfRule>
    <x:cfRule type="expression" dxfId="59" priority="5">
      <x:formula>C5="Interview"</x:formula>
    </x:cfRule>
  </x:conditionalFormatting>
  <x:dataValidations count="3">
    <x:dataValidation type="list" sqref="B5:B24">
      <x:formula1>"Not Started,In Progress,Blocked,Done"</x:formula1>
    </x:dataValidation>
    <x:dataValidation type="list" sqref="C5:C24">
      <x:formula1>"Easy,Medium,Hard,Interview"</x:formula1>
    </x:dataValidation>
    <x:dataValidation type="list" sqref="D5:D24">
      <x:formula1>"Must Know,Core,SRE,Portfolio,Security,Interview,Advanced"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a2542fb96a4ee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13" hidden="0" customWidth="1"/>
    <x:col min="5" max="5" width="29" hidden="0" customWidth="1"/>
    <x:col min="6" max="6" width="43" hidden="0" customWidth="1"/>
    <x:col min="7" max="7" width="22" hidden="0" customWidth="1"/>
    <x:col min="8" max="8" width="25" hidden="0" customWidth="1"/>
    <x:col min="9" max="9" width="14" hidden="0" customWidth="1"/>
    <x:col min="10" max="10" width="14" hidden="0" customWidth="1"/>
  </x:cols>
  <x:sheetData>
    <x:row r="1">
      <x:c r="A1" s="103" t="str">
        <x:v>LINUX → SRE PRACTICAL TRACKER</x:v>
      </x:c>
      <x:c r="B1" s="103"/>
      <x:c r="C1" s="103"/>
      <x:c r="D1" s="103"/>
      <x:c r="E1" s="103"/>
      <x:c r="F1" s="103"/>
      <x:c r="G1" s="103"/>
      <x:c r="H1" s="103"/>
      <x:c r="I1" s="103"/>
      <x:c r="J1" s="103"/>
    </x:row>
    <x:row r="2">
      <x:c r="A2" s="103"/>
      <x:c r="B2" s="103"/>
      <x:c r="C2" s="103"/>
      <x:c r="D2" s="103"/>
      <x:c r="E2" s="103"/>
      <x:c r="F2" s="103"/>
      <x:c r="G2" s="103"/>
      <x:c r="H2" s="103"/>
      <x:c r="I2" s="103"/>
      <x:c r="J2" s="103"/>
    </x:row>
    <x:row r="3">
      <x:c r="A3" s="107" t="str">
        <x:v>Single source of truth: nauka, GitHub, rozmowy i aplikacje w jednym miejscu.</x:v>
      </x:c>
      <x:c r="B3" s="107"/>
      <x:c r="C3" s="107"/>
      <x:c r="D3" s="107"/>
      <x:c r="E3" s="107"/>
      <x:c r="F3" s="107"/>
      <x:c r="G3" s="107"/>
      <x:c r="H3" s="107"/>
      <x:c r="I3" s="107"/>
      <x:c r="J3" s="107"/>
    </x:row>
    <x:row r="5">
      <x:c r="A5" s="112" t="str">
        <x:v>Overall Progress</x:v>
      </x:c>
      <x:c r="B5" s="112"/>
      <x:c r="D5" s="112" t="str">
        <x:v>Job Search</x:v>
      </x:c>
      <x:c r="E5" s="112"/>
      <x:c r="G5" s="112" t="str">
        <x:v>Portfolio</x:v>
      </x:c>
      <x:c r="H5" s="112"/>
    </x:row>
    <x:row r="6">
      <x:c r="A6" t="str">
        <x:v>Tasks Done</x:v>
      </x:c>
      <x:c r="B6" t="n">
        <x:f>SUM(C12:C23)</x:f>
        <x:v>0</x:v>
      </x:c>
      <x:c r="D6" t="str">
        <x:v>Applications</x:v>
      </x:c>
      <x:c r="E6" t="n">
        <x:f>MAX(0,COUNTA('Job Tracker'!F:F)-1)</x:f>
        <x:v>0</x:v>
      </x:c>
      <x:c r="G6" t="str">
        <x:v>GitHub Links Added</x:v>
      </x:c>
      <x:c r="H6" t="n">
        <x:f>COUNTIF('Linux'!J5:J24,"?*")+COUNTIF('Bash'!J5:J24,"?*")+COUNTIF('Text Processing'!J5:J24,"?*")+COUNTIF('Docker'!J5:J24,"?*")+COUNTIF('Networking'!J5:J24,"?*")+COUNTIF('Kubernetes'!J5:J28,"?*")+COUNTIF('Prometheus'!J5:J24,"?*")+COUNTIF('Grafana'!J5:J24,"?*")+COUNTIF('SRE'!J5:J34,"?*")+COUNTIF('Python Automation'!J5:J24,"?*")+COUNTIF('Terraform'!J5:J24,"?*")+COUNTIF('CI-CD'!J5:J24,"?*")</x:f>
        <x:v>0</x:v>
      </x:c>
    </x:row>
    <x:row r="7">
      <x:c r="A7" t="str">
        <x:v>Total Tasks</x:v>
      </x:c>
      <x:c r="B7" t="n">
        <x:f>SUM(B12:B23)</x:f>
        <x:v>254</x:v>
      </x:c>
      <x:c r="D7" t="str">
        <x:v>Active Processes</x:v>
      </x:c>
      <x:c r="E7" t="n">
        <x:f>MAX(0,COUNTIFS('Job Tracker'!F:F,"&lt;&gt;",'Job Tracker'!G:G,"&lt;&gt;Rejected",'Job Tracker'!G:G,"&lt;&gt;Offer")-1)</x:f>
        <x:v>0</x:v>
      </x:c>
      <x:c r="G7" t="str">
        <x:v>Portfolio Tasks Done</x:v>
      </x:c>
      <x:c r="H7" t="n">
        <x:f>COUNTIFS('Linux'!D5:D24,"Portfolio",'Linux'!B5:B24,"Done")+COUNTIFS('Bash'!D5:D24,"Portfolio",'Bash'!B5:B24,"Done")+COUNTIFS('Text Processing'!D5:D24,"Portfolio",'Text Processing'!B5:B24,"Done")+COUNTIFS('Docker'!D5:D24,"Portfolio",'Docker'!B5:B24,"Done")+COUNTIFS('Networking'!D5:D24,"Portfolio",'Networking'!B5:B24,"Done")+COUNTIFS('Kubernetes'!D5:D28,"Portfolio",'Kubernetes'!B5:B28,"Done")+COUNTIFS('Prometheus'!D5:D24,"Portfolio",'Prometheus'!B5:B24,"Done")+COUNTIFS('Grafana'!D5:D24,"Portfolio",'Grafana'!B5:B24,"Done")+COUNTIFS('SRE'!D5:D34,"Portfolio",'SRE'!B5:B34,"Done")+COUNTIFS('Python Automation'!D5:D24,"Portfolio",'Python Automation'!B5:B24,"Done")+COUNTIFS('Terraform'!D5:D24,"Portfolio",'Terraform'!B5:B24,"Done")+COUNTIFS('CI-CD'!D5:D24,"Portfolio",'CI-CD'!B5:B24,"Done")</x:f>
        <x:v>0</x:v>
      </x:c>
    </x:row>
    <x:row r="8">
      <x:c r="A8" t="str">
        <x:v>Progress</x:v>
      </x:c>
      <x:c r="B8" s="117" t="n">
        <x:f>IF(B7=0,0,B6/B7)</x:f>
        <x:v>0</x:v>
      </x:c>
      <x:c r="D8" t="str">
        <x:v>Interviews</x:v>
      </x:c>
      <x:c r="E8" t="n">
        <x:f>MAX(0,COUNTA('Interview Tracker'!A:A)-2)</x:f>
        <x:v>0</x:v>
      </x:c>
      <x:c r="G8" t="str">
        <x:v>Blocked Tasks</x:v>
      </x:c>
      <x:c r="H8" t="n">
        <x:f>COUNTIF('Linux'!B5:B24,"Blocked")+COUNTIF('Bash'!B5:B24,"Blocked")+COUNTIF('Text Processing'!B5:B24,"Blocked")+COUNTIF('Docker'!B5:B24,"Blocked")+COUNTIF('Networking'!B5:B24,"Blocked")+COUNTIF('Kubernetes'!B5:B28,"Blocked")+COUNTIF('Prometheus'!B5:B24,"Blocked")+COUNTIF('Grafana'!B5:B24,"Blocked")+COUNTIF('SRE'!B5:B34,"Blocked")+COUNTIF('Python Automation'!B5:B24,"Blocked")+COUNTIF('Terraform'!B5:B24,"Blocked")+COUNTIF('CI-CD'!B5:B24,"Blocked")</x:f>
        <x:v>0</x:v>
      </x:c>
    </x:row>
    <x:row r="11">
      <x:c r="A11" s="26" t="str">
        <x:v>Module</x:v>
      </x:c>
      <x:c r="B11" s="27" t="str">
        <x:v>Total Tasks</x:v>
      </x:c>
      <x:c r="C11" s="27" t="str">
        <x:v>Done</x:v>
      </x:c>
      <x:c r="D11" s="27" t="str">
        <x:v>Progress</x:v>
      </x:c>
      <x:c r="E11" s="27" t="str">
        <x:v>High-Value Focus</x:v>
      </x:c>
      <x:c r="F11" s="28" t="str">
        <x:v>Next Action</x:v>
      </x:c>
      <x:c r="H11" s="112" t="str">
        <x:v>Weekly Operating Targets</x:v>
      </x:c>
      <x:c r="I11" s="112"/>
      <x:c r="J11" s="112"/>
    </x:row>
    <x:row r="12">
      <x:c r="A12" s="60" t="str">
        <x:v>Linux</x:v>
      </x:c>
      <x:c r="B12" s="61" t="n">
        <x:v>20</x:v>
      </x:c>
      <x:c r="C12" s="61" t="n">
        <x:f>COUNTIF('Linux'!B5:B24,"Done")</x:f>
        <x:v>0</x:v>
      </x:c>
      <x:c r="D12" s="124" t="n">
        <x:f>IF(B12=0,0,C12/B12)</x:f>
        <x:v>0</x:v>
      </x:c>
      <x:c r="E12" s="61" t="str">
        <x:v>systemd, logs, troubleshooting</x:v>
      </x:c>
      <x:c r="F12" s="62" t="str">
        <x:f>IF(C12=B12,"Completed","Open Linux and choose the first Not Started task")</x:f>
        <x:v>Open Linux and choose the first Not Started task</x:v>
      </x:c>
      <x:c r="H12" s="51" t="str">
        <x:v>Completed practical tasks</x:v>
      </x:c>
      <x:c r="I12" s="43" t="n">
        <x:v>5</x:v>
      </x:c>
      <x:c r="J12" s="44" t="str"/>
    </x:row>
    <x:row r="13">
      <x:c r="A13" s="63" t="str">
        <x:v>Bash</x:v>
      </x:c>
      <x:c r="B13" s="64" t="n">
        <x:v>20</x:v>
      </x:c>
      <x:c r="C13" s="64" t="n">
        <x:f>COUNTIF('Bash'!B5:B24,"Done")</x:f>
        <x:v>0</x:v>
      </x:c>
      <x:c r="D13" s="125" t="n">
        <x:f>IF(B13=0,0,C13/B13)</x:f>
        <x:v>0</x:v>
      </x:c>
      <x:c r="E13" s="64" t="str">
        <x:v>scripts, error handling, awk/sed</x:v>
      </x:c>
      <x:c r="F13" s="65" t="str">
        <x:f>IF(C13=B13,"Completed","Open Bash and choose the first Not Started task")</x:f>
        <x:v>Open Bash and choose the first Not Started task</x:v>
      </x:c>
      <x:c r="H13" s="54" t="str">
        <x:v>Quality applications</x:v>
      </x:c>
      <x:c r="I13" s="46" t="n">
        <x:v>12</x:v>
      </x:c>
      <x:c r="J13" s="47" t="str"/>
    </x:row>
    <x:row r="14">
      <x:c r="A14" s="63" t="str">
        <x:v>Text Processing</x:v>
      </x:c>
      <x:c r="B14" s="64" t="n">
        <x:v>20</x:v>
      </x:c>
      <x:c r="C14" s="64" t="n">
        <x:f>COUNTIF('Text Processing'!B5:B24,"Done")</x:f>
        <x:v>0</x:v>
      </x:c>
      <x:c r="D14" s="125" t="n">
        <x:f>IF(B14=0,0,C14/B14)</x:f>
        <x:v>0</x:v>
      </x:c>
      <x:c r="E14" s="64" t="str">
        <x:v>awk, sed, grep, tr, jq</x:v>
      </x:c>
      <x:c r="F14" s="65" t="str">
        <x:f>IF(C14=B14,"Completed","Open Text Processing and choose the first Not Started task")</x:f>
        <x:v>Open Text Processing and choose the first Not Started task</x:v>
      </x:c>
      <x:c r="H14" s="54" t="str">
        <x:v>GitHub contributions</x:v>
      </x:c>
      <x:c r="I14" s="46" t="n">
        <x:v>3</x:v>
      </x:c>
      <x:c r="J14" s="47" t="str"/>
    </x:row>
    <x:row r="15">
      <x:c r="A15" s="63" t="str">
        <x:v>Docker</x:v>
      </x:c>
      <x:c r="B15" s="64" t="n">
        <x:v>20</x:v>
      </x:c>
      <x:c r="C15" s="64" t="n">
        <x:f>COUNTIF('Docker'!B5:B24,"Done")</x:f>
        <x:v>0</x:v>
      </x:c>
      <x:c r="D15" s="125" t="n">
        <x:f>IF(B15=0,0,C15/B15)</x:f>
        <x:v>0</x:v>
      </x:c>
      <x:c r="E15" s="64" t="str">
        <x:v>Dockerfile, networking, debug</x:v>
      </x:c>
      <x:c r="F15" s="65" t="str">
        <x:f>IF(C15=B15,"Completed","Open Docker and choose the first Not Started task")</x:f>
        <x:v>Open Docker and choose the first Not Started task</x:v>
      </x:c>
      <x:c r="H15" s="54" t="str">
        <x:v>Mock interview / review</x:v>
      </x:c>
      <x:c r="I15" s="46" t="n">
        <x:v>1</x:v>
      </x:c>
      <x:c r="J15" s="47" t="str"/>
    </x:row>
    <x:row r="16">
      <x:c r="A16" s="63" t="str">
        <x:v>Networking</x:v>
      </x:c>
      <x:c r="B16" s="64" t="n">
        <x:v>20</x:v>
      </x:c>
      <x:c r="C16" s="64" t="n">
        <x:f>COUNTIF('Networking'!B5:B24,"Done")</x:f>
        <x:v>0</x:v>
      </x:c>
      <x:c r="D16" s="125" t="n">
        <x:f>IF(B16=0,0,C16/B16)</x:f>
        <x:v>0</x:v>
      </x:c>
      <x:c r="E16" s="64" t="str">
        <x:v>DNS, TCP, HTTP/TLS, routing</x:v>
      </x:c>
      <x:c r="F16" s="65" t="str">
        <x:f>IF(C16=B16,"Completed","Open Networking and choose the first Not Started task")</x:f>
        <x:v>Open Networking and choose the first Not Started task</x:v>
      </x:c>
      <x:c r="H16" s="57" t="str">
        <x:v>Exercise or long walk</x:v>
      </x:c>
      <x:c r="I16" s="49" t="n">
        <x:v>3</x:v>
      </x:c>
      <x:c r="J16" s="50" t="str"/>
    </x:row>
    <x:row r="17">
      <x:c r="A17" s="63" t="str">
        <x:v>Kubernetes</x:v>
      </x:c>
      <x:c r="B17" s="64" t="n">
        <x:v>24</x:v>
      </x:c>
      <x:c r="C17" s="64" t="n">
        <x:f>COUNTIF('Kubernetes'!B5:B28,"Done")</x:f>
        <x:v>0</x:v>
      </x:c>
      <x:c r="D17" s="125" t="n">
        <x:f>IF(B17=0,0,C17/B17)</x:f>
        <x:v>0</x:v>
      </x:c>
      <x:c r="E17" s="64" t="str">
        <x:v>deployments, services, troubleshooting</x:v>
      </x:c>
      <x:c r="F17" s="65" t="str">
        <x:f>IF(C17=B17,"Completed","Open Kubernetes and choose the first Not Started task")</x:f>
        <x:v>Open Kubernetes and choose the first Not Started task</x:v>
      </x:c>
    </x:row>
    <x:row r="18">
      <x:c r="A18" s="63" t="str">
        <x:v>Prometheus</x:v>
      </x:c>
      <x:c r="B18" s="64" t="n">
        <x:v>20</x:v>
      </x:c>
      <x:c r="C18" s="64" t="n">
        <x:f>COUNTIF('Prometheus'!B5:B24,"Done")</x:f>
        <x:v>0</x:v>
      </x:c>
      <x:c r="D18" s="125" t="n">
        <x:f>IF(B18=0,0,C18/B18)</x:f>
        <x:v>0</x:v>
      </x:c>
      <x:c r="E18" s="64" t="str">
        <x:v>PromQL, metric types, alerting</x:v>
      </x:c>
      <x:c r="F18" s="65" t="str">
        <x:f>IF(C18=B18,"Completed","Open Prometheus and choose the first Not Started task")</x:f>
        <x:v>Open Prometheus and choose the first Not Started task</x:v>
      </x:c>
    </x:row>
    <x:row r="19">
      <x:c r="A19" s="63" t="str">
        <x:v>Grafana</x:v>
      </x:c>
      <x:c r="B19" s="64" t="n">
        <x:v>20</x:v>
      </x:c>
      <x:c r="C19" s="64" t="n">
        <x:f>COUNTIF('Grafana'!B5:B24,"Done")</x:f>
        <x:v>0</x:v>
      </x:c>
      <x:c r="D19" s="125" t="n">
        <x:f>IF(B19=0,0,C19/B19)</x:f>
        <x:v>0</x:v>
      </x:c>
      <x:c r="E19" s="64" t="str">
        <x:v>dashboards, variables, alerts</x:v>
      </x:c>
      <x:c r="F19" s="65" t="str">
        <x:f>IF(C19=B19,"Completed","Open Grafana and choose the first Not Started task")</x:f>
        <x:v>Open Grafana and choose the first Not Started task</x:v>
      </x:c>
    </x:row>
    <x:row r="20">
      <x:c r="A20" s="63" t="str">
        <x:v>SRE</x:v>
      </x:c>
      <x:c r="B20" s="64" t="n">
        <x:v>30</x:v>
      </x:c>
      <x:c r="C20" s="64" t="n">
        <x:f>COUNTIF('SRE'!B5:B34,"Done")</x:f>
        <x:v>0</x:v>
      </x:c>
      <x:c r="D20" s="125" t="n">
        <x:f>IF(B20=0,0,C20/B20)</x:f>
        <x:v>0</x:v>
      </x:c>
      <x:c r="E20" s="64" t="str">
        <x:v>SLI/SLO, incidents, runbooks</x:v>
      </x:c>
      <x:c r="F20" s="65" t="str">
        <x:f>IF(C20=B20,"Completed","Open SRE and choose the first Not Started task")</x:f>
        <x:v>Open SRE and choose the first Not Started task</x:v>
      </x:c>
    </x:row>
    <x:row r="21">
      <x:c r="A21" s="63" t="str">
        <x:v>Python Automation</x:v>
      </x:c>
      <x:c r="B21" s="64" t="n">
        <x:v>20</x:v>
      </x:c>
      <x:c r="C21" s="64" t="n">
        <x:f>COUNTIF('Python Automation'!B5:B24,"Done")</x:f>
        <x:v>0</x:v>
      </x:c>
      <x:c r="D21" s="125" t="n">
        <x:f>IF(B21=0,0,C21/B21)</x:f>
        <x:v>0</x:v>
      </x:c>
      <x:c r="E21" s="64" t="str">
        <x:v>CLI and infrastructure tools</x:v>
      </x:c>
      <x:c r="F21" s="65" t="str">
        <x:f>IF(C21=B21,"Completed","Open Python Automation and choose the first Not Started task")</x:f>
        <x:v>Open Python Automation and choose the first Not Started task</x:v>
      </x:c>
    </x:row>
    <x:row r="22">
      <x:c r="A22" s="63" t="str">
        <x:v>Terraform</x:v>
      </x:c>
      <x:c r="B22" s="64" t="n">
        <x:v>20</x:v>
      </x:c>
      <x:c r="C22" s="64" t="n">
        <x:f>COUNTIF('Terraform'!B5:B24,"Done")</x:f>
        <x:v>0</x:v>
      </x:c>
      <x:c r="D22" s="125" t="n">
        <x:f>IF(B22=0,0,C22/B22)</x:f>
        <x:v>0</x:v>
      </x:c>
      <x:c r="E22" s="64" t="str">
        <x:v>state, modules, safe changes</x:v>
      </x:c>
      <x:c r="F22" s="65" t="str">
        <x:f>IF(C22=B22,"Completed","Open Terraform and choose the first Not Started task")</x:f>
        <x:v>Open Terraform and choose the first Not Started task</x:v>
      </x:c>
    </x:row>
    <x:row r="23">
      <x:c r="A23" s="66" t="str">
        <x:v>CI-CD</x:v>
      </x:c>
      <x:c r="B23" s="67" t="n">
        <x:v>20</x:v>
      </x:c>
      <x:c r="C23" s="67" t="n">
        <x:f>COUNTIF('CI-CD'!B5:B24,"Done")</x:f>
        <x:v>0</x:v>
      </x:c>
      <x:c r="D23" s="126" t="n">
        <x:f>IF(B23=0,0,C23/B23)</x:f>
        <x:v>0</x:v>
      </x:c>
      <x:c r="E23" s="67" t="str">
        <x:v>build, test, deploy, rollback</x:v>
      </x:c>
      <x:c r="F23" s="68" t="str">
        <x:f>IF(C23=B23,"Completed","Open CI-CD and choose the first Not Started task")</x:f>
        <x:v>Open CI-CD and choose the first Not Started task</x:v>
      </x:c>
    </x:row>
    <x:row r="26">
      <x:c r="A26" s="112" t="str">
        <x:v>How to use this workbook</x:v>
      </x:c>
      <x:c r="B26" s="112"/>
      <x:c r="C26" s="112"/>
      <x:c r="D26" s="112"/>
      <x:c r="E26" s="112"/>
      <x:c r="F26" s="112"/>
    </x:row>
    <x:row r="27">
      <x:c r="A27" s="161" t="str">
        <x:v>1</x:v>
      </x:c>
      <x:c r="B27" s="52" t="str">
        <x:v>Choose tasks from the current module; do not learn every module simultaneously.</x:v>
      </x:c>
      <x:c r="C27" s="52" t="str"/>
      <x:c r="D27" s="52" t="str"/>
      <x:c r="E27" s="52" t="str"/>
      <x:c r="F27" s="53" t="str"/>
    </x:row>
    <x:row r="28">
      <x:c r="A28" s="162" t="str">
        <x:v>2</x:v>
      </x:c>
      <x:c r="B28" s="55" t="str">
        <x:v>Set Status to In Progress when you start and enter the start date.</x:v>
      </x:c>
      <x:c r="C28" s="55" t="str"/>
      <x:c r="D28" s="55" t="str"/>
      <x:c r="E28" s="55" t="str"/>
      <x:c r="F28" s="56" t="str"/>
    </x:row>
    <x:row r="29">
      <x:c r="A29" s="162" t="str">
        <x:v>3</x:v>
      </x:c>
      <x:c r="B29" s="55" t="str">
        <x:v>Create the expected artifact, commit it and paste the GitHub URL.</x:v>
      </x:c>
      <x:c r="C29" s="55" t="str"/>
      <x:c r="D29" s="55" t="str"/>
      <x:c r="E29" s="55" t="str"/>
      <x:c r="F29" s="56" t="str"/>
    </x:row>
    <x:row r="30">
      <x:c r="A30" s="162" t="str">
        <x:v>4</x:v>
      </x:c>
      <x:c r="B30" s="55" t="str">
        <x:v>After review, set Status to Done and add the completion date.</x:v>
      </x:c>
      <x:c r="C30" s="55" t="str"/>
      <x:c r="D30" s="55" t="str"/>
      <x:c r="E30" s="55" t="str"/>
      <x:c r="F30" s="56" t="str"/>
    </x:row>
    <x:row r="31">
      <x:c r="A31" s="162" t="str">
        <x:v>5</x:v>
      </x:c>
      <x:c r="B31" s="55" t="str">
        <x:v>Send 10–15 quality applications each week and update Job Tracker immediately.</x:v>
      </x:c>
      <x:c r="C31" s="55" t="str"/>
      <x:c r="D31" s="55" t="str"/>
      <x:c r="E31" s="55" t="str"/>
      <x:c r="F31" s="56" t="str"/>
    </x:row>
    <x:row r="32">
      <x:c r="A32" s="163" t="str">
        <x:v>6</x:v>
      </x:c>
      <x:c r="B32" s="58" t="str">
        <x:v>After every interview, record questions and convert gaps into new tasks.</x:v>
      </x:c>
      <x:c r="C32" s="58" t="str"/>
      <x:c r="D32" s="58" t="str"/>
      <x:c r="E32" s="58" t="str"/>
      <x:c r="F32" s="59" t="str"/>
    </x:row>
  </x:sheetData>
  <x:mergeCells>
    <x:mergeCell ref="A1:J2"/>
    <x:mergeCell ref="A3:J3"/>
    <x:mergeCell ref="A5:B5"/>
    <x:mergeCell ref="D5:E5"/>
    <x:mergeCell ref="G5:H5"/>
    <x:mergeCell ref="H11:J11"/>
    <x:mergeCell ref="A26:F26"/>
  </x:mergeCells>
  <x:conditionalFormatting sqref="D12:D23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159e4666258455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5B5"/>
            </x14:dataBar>
          </x14:cfRule>
          <xm:sqref>D12:D23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4" hidden="0" customWidth="1"/>
    <x:col min="5" max="5" width="13" hidden="0" customWidth="1"/>
    <x:col min="6" max="6" width="17" hidden="0" customWidth="1"/>
    <x:col min="7" max="7" width="17" hidden="0" customWidth="1"/>
    <x:col min="8" max="8" width="13" hidden="0" customWidth="1"/>
    <x:col min="9" max="9" width="12" hidden="0" customWidth="1"/>
    <x:col min="10" max="10" width="38" hidden="0" customWidth="1"/>
  </x:cols>
  <x:sheetData>
    <x:row r="1">
      <x:c r="A1" s="135" t="str">
        <x:v>WEEKLY PLAN — LEARN + BUILD + APPLY</x:v>
      </x:c>
      <x:c r="B1" s="135"/>
      <x:c r="C1" s="135"/>
      <x:c r="D1" s="135"/>
      <x:c r="E1" s="135"/>
      <x:c r="F1" s="135"/>
      <x:c r="G1" s="135"/>
      <x:c r="H1" s="135"/>
      <x:c r="I1" s="135"/>
      <x:c r="J1" s="135"/>
    </x:row>
    <x:row r="3">
      <x:c r="A3" s="26" t="str">
        <x:v>Week</x:v>
      </x:c>
      <x:c r="B3" s="27" t="str">
        <x:v>Start Date</x:v>
      </x:c>
      <x:c r="C3" s="27" t="str">
        <x:v>Primary Module</x:v>
      </x:c>
      <x:c r="D3" s="27" t="str">
        <x:v>Tasks Planned</x:v>
      </x:c>
      <x:c r="E3" s="27" t="str">
        <x:v>Tasks Done</x:v>
      </x:c>
      <x:c r="F3" s="27" t="str">
        <x:v>Applications Goal</x:v>
      </x:c>
      <x:c r="G3" s="27" t="str">
        <x:v>Applications Sent</x:v>
      </x:c>
      <x:c r="H3" s="27" t="str">
        <x:v>GitHub Goal</x:v>
      </x:c>
      <x:c r="I3" s="27" t="str">
        <x:v>GitHub Done</x:v>
      </x:c>
      <x:c r="J3" s="28" t="str">
        <x:v>Weekly Review</x:v>
      </x:c>
    </x:row>
    <x:row r="4">
      <x:c r="A4" s="51" t="n">
        <x:v>1</x:v>
      </x:c>
      <x:c r="B4" s="141" t="n">
        <x:v>46230</x:v>
      </x:c>
      <x:c r="C4" s="52" t="str"/>
      <x:c r="D4" s="52" t="n">
        <x:v>5</x:v>
      </x:c>
      <x:c r="E4" s="52" t="str"/>
      <x:c r="F4" s="52" t="n">
        <x:v>12</x:v>
      </x:c>
      <x:c r="G4" s="52" t="str"/>
      <x:c r="H4" s="52" t="n">
        <x:v>3</x:v>
      </x:c>
      <x:c r="I4" s="52" t="str"/>
      <x:c r="J4" s="53" t="str"/>
    </x:row>
    <x:row r="5">
      <x:c r="A5" s="54" t="n">
        <x:v>2</x:v>
      </x:c>
      <x:c r="B5" s="142" t="n">
        <x:v>46237</x:v>
      </x:c>
      <x:c r="C5" s="55" t="str"/>
      <x:c r="D5" s="55" t="n">
        <x:v>5</x:v>
      </x:c>
      <x:c r="E5" s="55" t="str"/>
      <x:c r="F5" s="55" t="n">
        <x:v>12</x:v>
      </x:c>
      <x:c r="G5" s="55" t="str"/>
      <x:c r="H5" s="55" t="n">
        <x:v>3</x:v>
      </x:c>
      <x:c r="I5" s="55" t="str"/>
      <x:c r="J5" s="56" t="str"/>
    </x:row>
    <x:row r="6">
      <x:c r="A6" s="54" t="n">
        <x:v>3</x:v>
      </x:c>
      <x:c r="B6" s="142" t="n">
        <x:v>46244</x:v>
      </x:c>
      <x:c r="C6" s="55" t="str"/>
      <x:c r="D6" s="55" t="n">
        <x:v>5</x:v>
      </x:c>
      <x:c r="E6" s="55" t="str"/>
      <x:c r="F6" s="55" t="n">
        <x:v>12</x:v>
      </x:c>
      <x:c r="G6" s="55" t="str"/>
      <x:c r="H6" s="55" t="n">
        <x:v>3</x:v>
      </x:c>
      <x:c r="I6" s="55" t="str"/>
      <x:c r="J6" s="56" t="str"/>
    </x:row>
    <x:row r="7">
      <x:c r="A7" s="54" t="n">
        <x:v>4</x:v>
      </x:c>
      <x:c r="B7" s="142" t="n">
        <x:v>46251</x:v>
      </x:c>
      <x:c r="C7" s="55" t="str"/>
      <x:c r="D7" s="55" t="n">
        <x:v>5</x:v>
      </x:c>
      <x:c r="E7" s="55" t="str"/>
      <x:c r="F7" s="55" t="n">
        <x:v>12</x:v>
      </x:c>
      <x:c r="G7" s="55" t="str"/>
      <x:c r="H7" s="55" t="n">
        <x:v>3</x:v>
      </x:c>
      <x:c r="I7" s="55" t="str"/>
      <x:c r="J7" s="56" t="str"/>
    </x:row>
    <x:row r="8">
      <x:c r="A8" s="54" t="n">
        <x:v>5</x:v>
      </x:c>
      <x:c r="B8" s="142" t="n">
        <x:v>46258</x:v>
      </x:c>
      <x:c r="C8" s="55" t="str"/>
      <x:c r="D8" s="55" t="n">
        <x:v>5</x:v>
      </x:c>
      <x:c r="E8" s="55" t="str"/>
      <x:c r="F8" s="55" t="n">
        <x:v>12</x:v>
      </x:c>
      <x:c r="G8" s="55" t="str"/>
      <x:c r="H8" s="55" t="n">
        <x:v>3</x:v>
      </x:c>
      <x:c r="I8" s="55" t="str"/>
      <x:c r="J8" s="56" t="str"/>
    </x:row>
    <x:row r="9">
      <x:c r="A9" s="54" t="n">
        <x:v>6</x:v>
      </x:c>
      <x:c r="B9" s="142" t="n">
        <x:v>46265</x:v>
      </x:c>
      <x:c r="C9" s="55" t="str"/>
      <x:c r="D9" s="55" t="n">
        <x:v>5</x:v>
      </x:c>
      <x:c r="E9" s="55" t="str"/>
      <x:c r="F9" s="55" t="n">
        <x:v>12</x:v>
      </x:c>
      <x:c r="G9" s="55" t="str"/>
      <x:c r="H9" s="55" t="n">
        <x:v>3</x:v>
      </x:c>
      <x:c r="I9" s="55" t="str"/>
      <x:c r="J9" s="56" t="str"/>
    </x:row>
    <x:row r="10">
      <x:c r="A10" s="54" t="n">
        <x:v>7</x:v>
      </x:c>
      <x:c r="B10" s="142" t="n">
        <x:v>46272</x:v>
      </x:c>
      <x:c r="C10" s="55" t="str"/>
      <x:c r="D10" s="55" t="n">
        <x:v>5</x:v>
      </x:c>
      <x:c r="E10" s="55" t="str"/>
      <x:c r="F10" s="55" t="n">
        <x:v>12</x:v>
      </x:c>
      <x:c r="G10" s="55" t="str"/>
      <x:c r="H10" s="55" t="n">
        <x:v>3</x:v>
      </x:c>
      <x:c r="I10" s="55" t="str"/>
      <x:c r="J10" s="56" t="str"/>
    </x:row>
    <x:row r="11">
      <x:c r="A11" s="54" t="n">
        <x:v>8</x:v>
      </x:c>
      <x:c r="B11" s="142" t="n">
        <x:v>46279</x:v>
      </x:c>
      <x:c r="C11" s="55" t="str"/>
      <x:c r="D11" s="55" t="n">
        <x:v>5</x:v>
      </x:c>
      <x:c r="E11" s="55" t="str"/>
      <x:c r="F11" s="55" t="n">
        <x:v>12</x:v>
      </x:c>
      <x:c r="G11" s="55" t="str"/>
      <x:c r="H11" s="55" t="n">
        <x:v>3</x:v>
      </x:c>
      <x:c r="I11" s="55" t="str"/>
      <x:c r="J11" s="56" t="str"/>
    </x:row>
    <x:row r="12">
      <x:c r="A12" s="54" t="n">
        <x:v>9</x:v>
      </x:c>
      <x:c r="B12" s="142" t="n">
        <x:v>46286</x:v>
      </x:c>
      <x:c r="C12" s="55" t="str"/>
      <x:c r="D12" s="55" t="n">
        <x:v>5</x:v>
      </x:c>
      <x:c r="E12" s="55" t="str"/>
      <x:c r="F12" s="55" t="n">
        <x:v>12</x:v>
      </x:c>
      <x:c r="G12" s="55" t="str"/>
      <x:c r="H12" s="55" t="n">
        <x:v>3</x:v>
      </x:c>
      <x:c r="I12" s="55" t="str"/>
      <x:c r="J12" s="56" t="str"/>
    </x:row>
    <x:row r="13">
      <x:c r="A13" s="54" t="n">
        <x:v>10</x:v>
      </x:c>
      <x:c r="B13" s="142" t="n">
        <x:v>46293</x:v>
      </x:c>
      <x:c r="C13" s="55" t="str"/>
      <x:c r="D13" s="55" t="n">
        <x:v>5</x:v>
      </x:c>
      <x:c r="E13" s="55" t="str"/>
      <x:c r="F13" s="55" t="n">
        <x:v>12</x:v>
      </x:c>
      <x:c r="G13" s="55" t="str"/>
      <x:c r="H13" s="55" t="n">
        <x:v>3</x:v>
      </x:c>
      <x:c r="I13" s="55" t="str"/>
      <x:c r="J13" s="56" t="str"/>
    </x:row>
    <x:row r="14">
      <x:c r="A14" s="54" t="n">
        <x:v>11</x:v>
      </x:c>
      <x:c r="B14" s="142" t="n">
        <x:v>46300</x:v>
      </x:c>
      <x:c r="C14" s="55" t="str"/>
      <x:c r="D14" s="55" t="n">
        <x:v>5</x:v>
      </x:c>
      <x:c r="E14" s="55" t="str"/>
      <x:c r="F14" s="55" t="n">
        <x:v>12</x:v>
      </x:c>
      <x:c r="G14" s="55" t="str"/>
      <x:c r="H14" s="55" t="n">
        <x:v>3</x:v>
      </x:c>
      <x:c r="I14" s="55" t="str"/>
      <x:c r="J14" s="56" t="str"/>
    </x:row>
    <x:row r="15">
      <x:c r="A15" s="54" t="n">
        <x:v>12</x:v>
      </x:c>
      <x:c r="B15" s="142" t="n">
        <x:v>46307</x:v>
      </x:c>
      <x:c r="C15" s="55" t="str"/>
      <x:c r="D15" s="55" t="n">
        <x:v>5</x:v>
      </x:c>
      <x:c r="E15" s="55" t="str"/>
      <x:c r="F15" s="55" t="n">
        <x:v>12</x:v>
      </x:c>
      <x:c r="G15" s="55" t="str"/>
      <x:c r="H15" s="55" t="n">
        <x:v>3</x:v>
      </x:c>
      <x:c r="I15" s="55" t="str"/>
      <x:c r="J15" s="56" t="str"/>
    </x:row>
    <x:row r="16">
      <x:c r="A16" s="57" t="n">
        <x:v>13</x:v>
      </x:c>
      <x:c r="B16" s="143" t="n">
        <x:v>46314</x:v>
      </x:c>
      <x:c r="C16" s="58" t="str"/>
      <x:c r="D16" s="58" t="n">
        <x:v>5</x:v>
      </x:c>
      <x:c r="E16" s="58" t="str"/>
      <x:c r="F16" s="58" t="n">
        <x:v>12</x:v>
      </x:c>
      <x:c r="G16" s="58" t="str"/>
      <x:c r="H16" s="58" t="n">
        <x:v>3</x:v>
      </x:c>
      <x:c r="I16" s="58" t="str"/>
      <x:c r="J16" s="59" t="str"/>
    </x:row>
  </x:sheetData>
  <x:mergeCells>
    <x:mergeCell ref="A1:J1"/>
  </x:mergeCells>
  <x:dataValidations count="1">
    <x:dataValidation type="list" sqref="C4:C16">
      <x:formula1>"Linux,Bash,Text Processing,Docker,Networking,Kubernetes,Prometheus,Grafana,SRE,Python Automation,Terraform,CI-CD"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30" hidden="0" customWidth="1"/>
    <x:col min="4" max="4" width="18" hidden="0" customWidth="1"/>
    <x:col min="5" max="5" width="35" hidden="0" customWidth="1"/>
    <x:col min="6" max="6" width="13" hidden="0" customWidth="1"/>
    <x:col min="7" max="7" width="15" hidden="0" customWidth="1"/>
    <x:col min="8" max="8" width="10" hidden="0" customWidth="1"/>
    <x:col min="9" max="9" width="16" hidden="0" customWidth="1"/>
    <x:col min="10" max="10" width="20" hidden="0" customWidth="1"/>
    <x:col min="11" max="11" width="30" hidden="0" customWidth="1"/>
    <x:col min="12" max="12" width="15" hidden="0" customWidth="1"/>
    <x:col min="13" max="13" width="38" hidden="0" customWidth="1"/>
    <x:col min="14" max="14" width="10" hidden="0" customWidth="1"/>
  </x:cols>
  <x:sheetData>
    <x:row r="1">
      <x:c r="A1" s="135" t="str">
        <x:v>APPLICATION PIPELINE</x:v>
      </x:c>
      <x:c r="B1" s="135"/>
      <x:c r="C1" s="135"/>
      <x:c r="D1" s="135"/>
      <x:c r="E1" s="135"/>
      <x:c r="F1" s="135"/>
      <x:c r="G1" s="135"/>
      <x:c r="H1" s="135"/>
      <x:c r="I1" s="135"/>
      <x:c r="J1" s="135"/>
      <x:c r="K1" s="135"/>
      <x:c r="L1" s="135"/>
      <x:c r="M1" s="135"/>
      <x:c r="N1" s="135"/>
    </x:row>
    <x:row r="3">
      <x:c r="A3" s="26" t="str">
        <x:v>ID</x:v>
      </x:c>
      <x:c r="B3" s="27" t="str">
        <x:v>Company</x:v>
      </x:c>
      <x:c r="C3" s="27" t="str">
        <x:v>Role</x:v>
      </x:c>
      <x:c r="D3" s="27" t="str">
        <x:v>Location / Remote</x:v>
      </x:c>
      <x:c r="E3" s="27" t="str">
        <x:v>Job URL</x:v>
      </x:c>
      <x:c r="F3" s="27" t="str">
        <x:v>Applied Date</x:v>
      </x:c>
      <x:c r="G3" s="27" t="str">
        <x:v>Status</x:v>
      </x:c>
      <x:c r="H3" s="27" t="str">
        <x:v>Match %</x:v>
      </x:c>
      <x:c r="I3" s="27" t="str">
        <x:v>CV Version</x:v>
      </x:c>
      <x:c r="J3" s="27" t="str">
        <x:v>Contact</x:v>
      </x:c>
      <x:c r="K3" s="27" t="str">
        <x:v>Next Action</x:v>
      </x:c>
      <x:c r="L3" s="27" t="str">
        <x:v>Next Action Date</x:v>
      </x:c>
      <x:c r="M3" s="27" t="str">
        <x:v>Feedback / Notes</x:v>
      </x:c>
      <x:c r="N3" s="28" t="str">
        <x:v>Priority</x:v>
      </x:c>
    </x:row>
    <x:row r="4">
      <x:c r="A4" s="60"/>
      <x:c r="B4" s="61"/>
      <x:c r="C4" s="61"/>
      <x:c r="D4" s="61"/>
      <x:c r="E4" s="61"/>
      <x:c r="F4" s="95"/>
      <x:c r="G4" s="61"/>
      <x:c r="H4" s="124"/>
      <x:c r="I4" s="61"/>
      <x:c r="J4" s="61"/>
      <x:c r="K4" s="61"/>
      <x:c r="L4" s="95"/>
      <x:c r="M4" s="61"/>
      <x:c r="N4" s="62"/>
    </x:row>
    <x:row r="5">
      <x:c r="A5" s="63"/>
      <x:c r="B5" s="64"/>
      <x:c r="C5" s="64"/>
      <x:c r="D5" s="64"/>
      <x:c r="E5" s="64"/>
      <x:c r="F5" s="96"/>
      <x:c r="G5" s="64"/>
      <x:c r="H5" s="125"/>
      <x:c r="I5" s="64"/>
      <x:c r="J5" s="64"/>
      <x:c r="K5" s="64"/>
      <x:c r="L5" s="96"/>
      <x:c r="M5" s="64"/>
      <x:c r="N5" s="65"/>
    </x:row>
    <x:row r="6">
      <x:c r="A6" s="63"/>
      <x:c r="B6" s="64"/>
      <x:c r="C6" s="64"/>
      <x:c r="D6" s="64"/>
      <x:c r="E6" s="64"/>
      <x:c r="F6" s="96"/>
      <x:c r="G6" s="64"/>
      <x:c r="H6" s="125"/>
      <x:c r="I6" s="64"/>
      <x:c r="J6" s="64"/>
      <x:c r="K6" s="64"/>
      <x:c r="L6" s="96"/>
      <x:c r="M6" s="64"/>
      <x:c r="N6" s="65"/>
    </x:row>
    <x:row r="7">
      <x:c r="A7" s="63"/>
      <x:c r="B7" s="64"/>
      <x:c r="C7" s="64"/>
      <x:c r="D7" s="64"/>
      <x:c r="E7" s="64"/>
      <x:c r="F7" s="96"/>
      <x:c r="G7" s="64"/>
      <x:c r="H7" s="125"/>
      <x:c r="I7" s="64"/>
      <x:c r="J7" s="64"/>
      <x:c r="K7" s="64"/>
      <x:c r="L7" s="96"/>
      <x:c r="M7" s="64"/>
      <x:c r="N7" s="65"/>
    </x:row>
    <x:row r="8">
      <x:c r="A8" s="63"/>
      <x:c r="B8" s="64"/>
      <x:c r="C8" s="64"/>
      <x:c r="D8" s="64"/>
      <x:c r="E8" s="64"/>
      <x:c r="F8" s="96"/>
      <x:c r="G8" s="64"/>
      <x:c r="H8" s="125"/>
      <x:c r="I8" s="64"/>
      <x:c r="J8" s="64"/>
      <x:c r="K8" s="64"/>
      <x:c r="L8" s="96"/>
      <x:c r="M8" s="64"/>
      <x:c r="N8" s="65"/>
    </x:row>
    <x:row r="9">
      <x:c r="A9" s="63"/>
      <x:c r="B9" s="64"/>
      <x:c r="C9" s="64"/>
      <x:c r="D9" s="64"/>
      <x:c r="E9" s="64"/>
      <x:c r="F9" s="96"/>
      <x:c r="G9" s="64"/>
      <x:c r="H9" s="125"/>
      <x:c r="I9" s="64"/>
      <x:c r="J9" s="64"/>
      <x:c r="K9" s="64"/>
      <x:c r="L9" s="96"/>
      <x:c r="M9" s="64"/>
      <x:c r="N9" s="65"/>
    </x:row>
    <x:row r="10">
      <x:c r="A10" s="63"/>
      <x:c r="B10" s="64"/>
      <x:c r="C10" s="64"/>
      <x:c r="D10" s="64"/>
      <x:c r="E10" s="64"/>
      <x:c r="F10" s="96"/>
      <x:c r="G10" s="64"/>
      <x:c r="H10" s="125"/>
      <x:c r="I10" s="64"/>
      <x:c r="J10" s="64"/>
      <x:c r="K10" s="64"/>
      <x:c r="L10" s="96"/>
      <x:c r="M10" s="64"/>
      <x:c r="N10" s="65"/>
    </x:row>
    <x:row r="11">
      <x:c r="A11" s="63"/>
      <x:c r="B11" s="64"/>
      <x:c r="C11" s="64"/>
      <x:c r="D11" s="64"/>
      <x:c r="E11" s="64"/>
      <x:c r="F11" s="96"/>
      <x:c r="G11" s="64"/>
      <x:c r="H11" s="125"/>
      <x:c r="I11" s="64"/>
      <x:c r="J11" s="64"/>
      <x:c r="K11" s="64"/>
      <x:c r="L11" s="96"/>
      <x:c r="M11" s="64"/>
      <x:c r="N11" s="65"/>
    </x:row>
    <x:row r="12">
      <x:c r="A12" s="63"/>
      <x:c r="B12" s="64"/>
      <x:c r="C12" s="64"/>
      <x:c r="D12" s="64"/>
      <x:c r="E12" s="64"/>
      <x:c r="F12" s="96"/>
      <x:c r="G12" s="64"/>
      <x:c r="H12" s="125"/>
      <x:c r="I12" s="64"/>
      <x:c r="J12" s="64"/>
      <x:c r="K12" s="64"/>
      <x:c r="L12" s="96"/>
      <x:c r="M12" s="64"/>
      <x:c r="N12" s="65"/>
    </x:row>
    <x:row r="13">
      <x:c r="A13" s="63"/>
      <x:c r="B13" s="64"/>
      <x:c r="C13" s="64"/>
      <x:c r="D13" s="64"/>
      <x:c r="E13" s="64"/>
      <x:c r="F13" s="96"/>
      <x:c r="G13" s="64"/>
      <x:c r="H13" s="125"/>
      <x:c r="I13" s="64"/>
      <x:c r="J13" s="64"/>
      <x:c r="K13" s="64"/>
      <x:c r="L13" s="96"/>
      <x:c r="M13" s="64"/>
      <x:c r="N13" s="65"/>
    </x:row>
    <x:row r="14">
      <x:c r="A14" s="63"/>
      <x:c r="B14" s="64"/>
      <x:c r="C14" s="64"/>
      <x:c r="D14" s="64"/>
      <x:c r="E14" s="64"/>
      <x:c r="F14" s="96"/>
      <x:c r="G14" s="64"/>
      <x:c r="H14" s="125"/>
      <x:c r="I14" s="64"/>
      <x:c r="J14" s="64"/>
      <x:c r="K14" s="64"/>
      <x:c r="L14" s="96"/>
      <x:c r="M14" s="64"/>
      <x:c r="N14" s="65"/>
    </x:row>
    <x:row r="15">
      <x:c r="A15" s="63"/>
      <x:c r="B15" s="64"/>
      <x:c r="C15" s="64"/>
      <x:c r="D15" s="64"/>
      <x:c r="E15" s="64"/>
      <x:c r="F15" s="96"/>
      <x:c r="G15" s="64"/>
      <x:c r="H15" s="125"/>
      <x:c r="I15" s="64"/>
      <x:c r="J15" s="64"/>
      <x:c r="K15" s="64"/>
      <x:c r="L15" s="96"/>
      <x:c r="M15" s="64"/>
      <x:c r="N15" s="65"/>
    </x:row>
    <x:row r="16">
      <x:c r="A16" s="63"/>
      <x:c r="B16" s="64"/>
      <x:c r="C16" s="64"/>
      <x:c r="D16" s="64"/>
      <x:c r="E16" s="64"/>
      <x:c r="F16" s="96"/>
      <x:c r="G16" s="64"/>
      <x:c r="H16" s="125"/>
      <x:c r="I16" s="64"/>
      <x:c r="J16" s="64"/>
      <x:c r="K16" s="64"/>
      <x:c r="L16" s="96"/>
      <x:c r="M16" s="64"/>
      <x:c r="N16" s="65"/>
    </x:row>
    <x:row r="17">
      <x:c r="A17" s="63"/>
      <x:c r="B17" s="64"/>
      <x:c r="C17" s="64"/>
      <x:c r="D17" s="64"/>
      <x:c r="E17" s="64"/>
      <x:c r="F17" s="96"/>
      <x:c r="G17" s="64"/>
      <x:c r="H17" s="125"/>
      <x:c r="I17" s="64"/>
      <x:c r="J17" s="64"/>
      <x:c r="K17" s="64"/>
      <x:c r="L17" s="96"/>
      <x:c r="M17" s="64"/>
      <x:c r="N17" s="65"/>
    </x:row>
    <x:row r="18">
      <x:c r="A18" s="63"/>
      <x:c r="B18" s="64"/>
      <x:c r="C18" s="64"/>
      <x:c r="D18" s="64"/>
      <x:c r="E18" s="64"/>
      <x:c r="F18" s="96"/>
      <x:c r="G18" s="64"/>
      <x:c r="H18" s="125"/>
      <x:c r="I18" s="64"/>
      <x:c r="J18" s="64"/>
      <x:c r="K18" s="64"/>
      <x:c r="L18" s="96"/>
      <x:c r="M18" s="64"/>
      <x:c r="N18" s="65"/>
    </x:row>
    <x:row r="19">
      <x:c r="A19" s="63"/>
      <x:c r="B19" s="64"/>
      <x:c r="C19" s="64"/>
      <x:c r="D19" s="64"/>
      <x:c r="E19" s="64"/>
      <x:c r="F19" s="96"/>
      <x:c r="G19" s="64"/>
      <x:c r="H19" s="125"/>
      <x:c r="I19" s="64"/>
      <x:c r="J19" s="64"/>
      <x:c r="K19" s="64"/>
      <x:c r="L19" s="96"/>
      <x:c r="M19" s="64"/>
      <x:c r="N19" s="65"/>
    </x:row>
    <x:row r="20">
      <x:c r="A20" s="63"/>
      <x:c r="B20" s="64"/>
      <x:c r="C20" s="64"/>
      <x:c r="D20" s="64"/>
      <x:c r="E20" s="64"/>
      <x:c r="F20" s="96"/>
      <x:c r="G20" s="64"/>
      <x:c r="H20" s="125"/>
      <x:c r="I20" s="64"/>
      <x:c r="J20" s="64"/>
      <x:c r="K20" s="64"/>
      <x:c r="L20" s="96"/>
      <x:c r="M20" s="64"/>
      <x:c r="N20" s="65"/>
    </x:row>
    <x:row r="21">
      <x:c r="A21" s="63"/>
      <x:c r="B21" s="64"/>
      <x:c r="C21" s="64"/>
      <x:c r="D21" s="64"/>
      <x:c r="E21" s="64"/>
      <x:c r="F21" s="96"/>
      <x:c r="G21" s="64"/>
      <x:c r="H21" s="125"/>
      <x:c r="I21" s="64"/>
      <x:c r="J21" s="64"/>
      <x:c r="K21" s="64"/>
      <x:c r="L21" s="96"/>
      <x:c r="M21" s="64"/>
      <x:c r="N21" s="65"/>
    </x:row>
    <x:row r="22">
      <x:c r="A22" s="63"/>
      <x:c r="B22" s="64"/>
      <x:c r="C22" s="64"/>
      <x:c r="D22" s="64"/>
      <x:c r="E22" s="64"/>
      <x:c r="F22" s="96"/>
      <x:c r="G22" s="64"/>
      <x:c r="H22" s="125"/>
      <x:c r="I22" s="64"/>
      <x:c r="J22" s="64"/>
      <x:c r="K22" s="64"/>
      <x:c r="L22" s="96"/>
      <x:c r="M22" s="64"/>
      <x:c r="N22" s="65"/>
    </x:row>
    <x:row r="23">
      <x:c r="A23" s="63"/>
      <x:c r="B23" s="64"/>
      <x:c r="C23" s="64"/>
      <x:c r="D23" s="64"/>
      <x:c r="E23" s="64"/>
      <x:c r="F23" s="96"/>
      <x:c r="G23" s="64"/>
      <x:c r="H23" s="125"/>
      <x:c r="I23" s="64"/>
      <x:c r="J23" s="64"/>
      <x:c r="K23" s="64"/>
      <x:c r="L23" s="96"/>
      <x:c r="M23" s="64"/>
      <x:c r="N23" s="65"/>
    </x:row>
    <x:row r="24">
      <x:c r="A24" s="63"/>
      <x:c r="B24" s="64"/>
      <x:c r="C24" s="64"/>
      <x:c r="D24" s="64"/>
      <x:c r="E24" s="64"/>
      <x:c r="F24" s="96"/>
      <x:c r="G24" s="64"/>
      <x:c r="H24" s="125"/>
      <x:c r="I24" s="64"/>
      <x:c r="J24" s="64"/>
      <x:c r="K24" s="64"/>
      <x:c r="L24" s="96"/>
      <x:c r="M24" s="64"/>
      <x:c r="N24" s="65"/>
    </x:row>
    <x:row r="25">
      <x:c r="A25" s="63"/>
      <x:c r="B25" s="64"/>
      <x:c r="C25" s="64"/>
      <x:c r="D25" s="64"/>
      <x:c r="E25" s="64"/>
      <x:c r="F25" s="96"/>
      <x:c r="G25" s="64"/>
      <x:c r="H25" s="125"/>
      <x:c r="I25" s="64"/>
      <x:c r="J25" s="64"/>
      <x:c r="K25" s="64"/>
      <x:c r="L25" s="96"/>
      <x:c r="M25" s="64"/>
      <x:c r="N25" s="65"/>
    </x:row>
    <x:row r="26">
      <x:c r="A26" s="63"/>
      <x:c r="B26" s="64"/>
      <x:c r="C26" s="64"/>
      <x:c r="D26" s="64"/>
      <x:c r="E26" s="64"/>
      <x:c r="F26" s="96"/>
      <x:c r="G26" s="64"/>
      <x:c r="H26" s="125"/>
      <x:c r="I26" s="64"/>
      <x:c r="J26" s="64"/>
      <x:c r="K26" s="64"/>
      <x:c r="L26" s="96"/>
      <x:c r="M26" s="64"/>
      <x:c r="N26" s="65"/>
    </x:row>
    <x:row r="27">
      <x:c r="A27" s="63"/>
      <x:c r="B27" s="64"/>
      <x:c r="C27" s="64"/>
      <x:c r="D27" s="64"/>
      <x:c r="E27" s="64"/>
      <x:c r="F27" s="96"/>
      <x:c r="G27" s="64"/>
      <x:c r="H27" s="125"/>
      <x:c r="I27" s="64"/>
      <x:c r="J27" s="64"/>
      <x:c r="K27" s="64"/>
      <x:c r="L27" s="96"/>
      <x:c r="M27" s="64"/>
      <x:c r="N27" s="65"/>
    </x:row>
    <x:row r="28">
      <x:c r="A28" s="63"/>
      <x:c r="B28" s="64"/>
      <x:c r="C28" s="64"/>
      <x:c r="D28" s="64"/>
      <x:c r="E28" s="64"/>
      <x:c r="F28" s="96"/>
      <x:c r="G28" s="64"/>
      <x:c r="H28" s="125"/>
      <x:c r="I28" s="64"/>
      <x:c r="J28" s="64"/>
      <x:c r="K28" s="64"/>
      <x:c r="L28" s="96"/>
      <x:c r="M28" s="64"/>
      <x:c r="N28" s="65"/>
    </x:row>
    <x:row r="29">
      <x:c r="A29" s="63"/>
      <x:c r="B29" s="64"/>
      <x:c r="C29" s="64"/>
      <x:c r="D29" s="64"/>
      <x:c r="E29" s="64"/>
      <x:c r="F29" s="96"/>
      <x:c r="G29" s="64"/>
      <x:c r="H29" s="125"/>
      <x:c r="I29" s="64"/>
      <x:c r="J29" s="64"/>
      <x:c r="K29" s="64"/>
      <x:c r="L29" s="96"/>
      <x:c r="M29" s="64"/>
      <x:c r="N29" s="65"/>
    </x:row>
    <x:row r="30">
      <x:c r="A30" s="63"/>
      <x:c r="B30" s="64"/>
      <x:c r="C30" s="64"/>
      <x:c r="D30" s="64"/>
      <x:c r="E30" s="64"/>
      <x:c r="F30" s="96"/>
      <x:c r="G30" s="64"/>
      <x:c r="H30" s="125"/>
      <x:c r="I30" s="64"/>
      <x:c r="J30" s="64"/>
      <x:c r="K30" s="64"/>
      <x:c r="L30" s="96"/>
      <x:c r="M30" s="64"/>
      <x:c r="N30" s="65"/>
    </x:row>
    <x:row r="31">
      <x:c r="A31" s="63"/>
      <x:c r="B31" s="64"/>
      <x:c r="C31" s="64"/>
      <x:c r="D31" s="64"/>
      <x:c r="E31" s="64"/>
      <x:c r="F31" s="96"/>
      <x:c r="G31" s="64"/>
      <x:c r="H31" s="125"/>
      <x:c r="I31" s="64"/>
      <x:c r="J31" s="64"/>
      <x:c r="K31" s="64"/>
      <x:c r="L31" s="96"/>
      <x:c r="M31" s="64"/>
      <x:c r="N31" s="65"/>
    </x:row>
    <x:row r="32">
      <x:c r="A32" s="63"/>
      <x:c r="B32" s="64"/>
      <x:c r="C32" s="64"/>
      <x:c r="D32" s="64"/>
      <x:c r="E32" s="64"/>
      <x:c r="F32" s="96"/>
      <x:c r="G32" s="64"/>
      <x:c r="H32" s="125"/>
      <x:c r="I32" s="64"/>
      <x:c r="J32" s="64"/>
      <x:c r="K32" s="64"/>
      <x:c r="L32" s="96"/>
      <x:c r="M32" s="64"/>
      <x:c r="N32" s="65"/>
    </x:row>
    <x:row r="33">
      <x:c r="A33" s="63"/>
      <x:c r="B33" s="64"/>
      <x:c r="C33" s="64"/>
      <x:c r="D33" s="64"/>
      <x:c r="E33" s="64"/>
      <x:c r="F33" s="96"/>
      <x:c r="G33" s="64"/>
      <x:c r="H33" s="125"/>
      <x:c r="I33" s="64"/>
      <x:c r="J33" s="64"/>
      <x:c r="K33" s="64"/>
      <x:c r="L33" s="96"/>
      <x:c r="M33" s="64"/>
      <x:c r="N33" s="65"/>
    </x:row>
    <x:row r="34">
      <x:c r="A34" s="63"/>
      <x:c r="B34" s="64"/>
      <x:c r="C34" s="64"/>
      <x:c r="D34" s="64"/>
      <x:c r="E34" s="64"/>
      <x:c r="F34" s="96"/>
      <x:c r="G34" s="64"/>
      <x:c r="H34" s="125"/>
      <x:c r="I34" s="64"/>
      <x:c r="J34" s="64"/>
      <x:c r="K34" s="64"/>
      <x:c r="L34" s="96"/>
      <x:c r="M34" s="64"/>
      <x:c r="N34" s="65"/>
    </x:row>
    <x:row r="35">
      <x:c r="A35" s="63"/>
      <x:c r="B35" s="64"/>
      <x:c r="C35" s="64"/>
      <x:c r="D35" s="64"/>
      <x:c r="E35" s="64"/>
      <x:c r="F35" s="96"/>
      <x:c r="G35" s="64"/>
      <x:c r="H35" s="125"/>
      <x:c r="I35" s="64"/>
      <x:c r="J35" s="64"/>
      <x:c r="K35" s="64"/>
      <x:c r="L35" s="96"/>
      <x:c r="M35" s="64"/>
      <x:c r="N35" s="65"/>
    </x:row>
    <x:row r="36">
      <x:c r="A36" s="63"/>
      <x:c r="B36" s="64"/>
      <x:c r="C36" s="64"/>
      <x:c r="D36" s="64"/>
      <x:c r="E36" s="64"/>
      <x:c r="F36" s="96"/>
      <x:c r="G36" s="64"/>
      <x:c r="H36" s="125"/>
      <x:c r="I36" s="64"/>
      <x:c r="J36" s="64"/>
      <x:c r="K36" s="64"/>
      <x:c r="L36" s="96"/>
      <x:c r="M36" s="64"/>
      <x:c r="N36" s="65"/>
    </x:row>
    <x:row r="37">
      <x:c r="A37" s="63"/>
      <x:c r="B37" s="64"/>
      <x:c r="C37" s="64"/>
      <x:c r="D37" s="64"/>
      <x:c r="E37" s="64"/>
      <x:c r="F37" s="96"/>
      <x:c r="G37" s="64"/>
      <x:c r="H37" s="125"/>
      <x:c r="I37" s="64"/>
      <x:c r="J37" s="64"/>
      <x:c r="K37" s="64"/>
      <x:c r="L37" s="96"/>
      <x:c r="M37" s="64"/>
      <x:c r="N37" s="65"/>
    </x:row>
    <x:row r="38">
      <x:c r="A38" s="63"/>
      <x:c r="B38" s="64"/>
      <x:c r="C38" s="64"/>
      <x:c r="D38" s="64"/>
      <x:c r="E38" s="64"/>
      <x:c r="F38" s="96"/>
      <x:c r="G38" s="64"/>
      <x:c r="H38" s="125"/>
      <x:c r="I38" s="64"/>
      <x:c r="J38" s="64"/>
      <x:c r="K38" s="64"/>
      <x:c r="L38" s="96"/>
      <x:c r="M38" s="64"/>
      <x:c r="N38" s="65"/>
    </x:row>
    <x:row r="39">
      <x:c r="A39" s="63"/>
      <x:c r="B39" s="64"/>
      <x:c r="C39" s="64"/>
      <x:c r="D39" s="64"/>
      <x:c r="E39" s="64"/>
      <x:c r="F39" s="96"/>
      <x:c r="G39" s="64"/>
      <x:c r="H39" s="125"/>
      <x:c r="I39" s="64"/>
      <x:c r="J39" s="64"/>
      <x:c r="K39" s="64"/>
      <x:c r="L39" s="96"/>
      <x:c r="M39" s="64"/>
      <x:c r="N39" s="65"/>
    </x:row>
    <x:row r="40">
      <x:c r="A40" s="63"/>
      <x:c r="B40" s="64"/>
      <x:c r="C40" s="64"/>
      <x:c r="D40" s="64"/>
      <x:c r="E40" s="64"/>
      <x:c r="F40" s="96"/>
      <x:c r="G40" s="64"/>
      <x:c r="H40" s="125"/>
      <x:c r="I40" s="64"/>
      <x:c r="J40" s="64"/>
      <x:c r="K40" s="64"/>
      <x:c r="L40" s="96"/>
      <x:c r="M40" s="64"/>
      <x:c r="N40" s="65"/>
    </x:row>
    <x:row r="41">
      <x:c r="A41" s="63"/>
      <x:c r="B41" s="64"/>
      <x:c r="C41" s="64"/>
      <x:c r="D41" s="64"/>
      <x:c r="E41" s="64"/>
      <x:c r="F41" s="96"/>
      <x:c r="G41" s="64"/>
      <x:c r="H41" s="125"/>
      <x:c r="I41" s="64"/>
      <x:c r="J41" s="64"/>
      <x:c r="K41" s="64"/>
      <x:c r="L41" s="96"/>
      <x:c r="M41" s="64"/>
      <x:c r="N41" s="65"/>
    </x:row>
    <x:row r="42">
      <x:c r="A42" s="63"/>
      <x:c r="B42" s="64"/>
      <x:c r="C42" s="64"/>
      <x:c r="D42" s="64"/>
      <x:c r="E42" s="64"/>
      <x:c r="F42" s="96"/>
      <x:c r="G42" s="64"/>
      <x:c r="H42" s="125"/>
      <x:c r="I42" s="64"/>
      <x:c r="J42" s="64"/>
      <x:c r="K42" s="64"/>
      <x:c r="L42" s="96"/>
      <x:c r="M42" s="64"/>
      <x:c r="N42" s="65"/>
    </x:row>
    <x:row r="43">
      <x:c r="A43" s="63"/>
      <x:c r="B43" s="64"/>
      <x:c r="C43" s="64"/>
      <x:c r="D43" s="64"/>
      <x:c r="E43" s="64"/>
      <x:c r="F43" s="96"/>
      <x:c r="G43" s="64"/>
      <x:c r="H43" s="125"/>
      <x:c r="I43" s="64"/>
      <x:c r="J43" s="64"/>
      <x:c r="K43" s="64"/>
      <x:c r="L43" s="96"/>
      <x:c r="M43" s="64"/>
      <x:c r="N43" s="65"/>
    </x:row>
    <x:row r="44">
      <x:c r="A44" s="63"/>
      <x:c r="B44" s="64"/>
      <x:c r="C44" s="64"/>
      <x:c r="D44" s="64"/>
      <x:c r="E44" s="64"/>
      <x:c r="F44" s="96"/>
      <x:c r="G44" s="64"/>
      <x:c r="H44" s="125"/>
      <x:c r="I44" s="64"/>
      <x:c r="J44" s="64"/>
      <x:c r="K44" s="64"/>
      <x:c r="L44" s="96"/>
      <x:c r="M44" s="64"/>
      <x:c r="N44" s="65"/>
    </x:row>
    <x:row r="45">
      <x:c r="A45" s="63"/>
      <x:c r="B45" s="64"/>
      <x:c r="C45" s="64"/>
      <x:c r="D45" s="64"/>
      <x:c r="E45" s="64"/>
      <x:c r="F45" s="96"/>
      <x:c r="G45" s="64"/>
      <x:c r="H45" s="125"/>
      <x:c r="I45" s="64"/>
      <x:c r="J45" s="64"/>
      <x:c r="K45" s="64"/>
      <x:c r="L45" s="96"/>
      <x:c r="M45" s="64"/>
      <x:c r="N45" s="65"/>
    </x:row>
    <x:row r="46">
      <x:c r="A46" s="63"/>
      <x:c r="B46" s="64"/>
      <x:c r="C46" s="64"/>
      <x:c r="D46" s="64"/>
      <x:c r="E46" s="64"/>
      <x:c r="F46" s="96"/>
      <x:c r="G46" s="64"/>
      <x:c r="H46" s="125"/>
      <x:c r="I46" s="64"/>
      <x:c r="J46" s="64"/>
      <x:c r="K46" s="64"/>
      <x:c r="L46" s="96"/>
      <x:c r="M46" s="64"/>
      <x:c r="N46" s="65"/>
    </x:row>
    <x:row r="47">
      <x:c r="A47" s="63"/>
      <x:c r="B47" s="64"/>
      <x:c r="C47" s="64"/>
      <x:c r="D47" s="64"/>
      <x:c r="E47" s="64"/>
      <x:c r="F47" s="96"/>
      <x:c r="G47" s="64"/>
      <x:c r="H47" s="125"/>
      <x:c r="I47" s="64"/>
      <x:c r="J47" s="64"/>
      <x:c r="K47" s="64"/>
      <x:c r="L47" s="96"/>
      <x:c r="M47" s="64"/>
      <x:c r="N47" s="65"/>
    </x:row>
    <x:row r="48">
      <x:c r="A48" s="63"/>
      <x:c r="B48" s="64"/>
      <x:c r="C48" s="64"/>
      <x:c r="D48" s="64"/>
      <x:c r="E48" s="64"/>
      <x:c r="F48" s="96"/>
      <x:c r="G48" s="64"/>
      <x:c r="H48" s="125"/>
      <x:c r="I48" s="64"/>
      <x:c r="J48" s="64"/>
      <x:c r="K48" s="64"/>
      <x:c r="L48" s="96"/>
      <x:c r="M48" s="64"/>
      <x:c r="N48" s="65"/>
    </x:row>
    <x:row r="49">
      <x:c r="A49" s="63"/>
      <x:c r="B49" s="64"/>
      <x:c r="C49" s="64"/>
      <x:c r="D49" s="64"/>
      <x:c r="E49" s="64"/>
      <x:c r="F49" s="96"/>
      <x:c r="G49" s="64"/>
      <x:c r="H49" s="125"/>
      <x:c r="I49" s="64"/>
      <x:c r="J49" s="64"/>
      <x:c r="K49" s="64"/>
      <x:c r="L49" s="96"/>
      <x:c r="M49" s="64"/>
      <x:c r="N49" s="65"/>
    </x:row>
    <x:row r="50">
      <x:c r="A50" s="63"/>
      <x:c r="B50" s="64"/>
      <x:c r="C50" s="64"/>
      <x:c r="D50" s="64"/>
      <x:c r="E50" s="64"/>
      <x:c r="F50" s="96"/>
      <x:c r="G50" s="64"/>
      <x:c r="H50" s="125"/>
      <x:c r="I50" s="64"/>
      <x:c r="J50" s="64"/>
      <x:c r="K50" s="64"/>
      <x:c r="L50" s="96"/>
      <x:c r="M50" s="64"/>
      <x:c r="N50" s="65"/>
    </x:row>
    <x:row r="51">
      <x:c r="A51" s="63"/>
      <x:c r="B51" s="64"/>
      <x:c r="C51" s="64"/>
      <x:c r="D51" s="64"/>
      <x:c r="E51" s="64"/>
      <x:c r="F51" s="96"/>
      <x:c r="G51" s="64"/>
      <x:c r="H51" s="125"/>
      <x:c r="I51" s="64"/>
      <x:c r="J51" s="64"/>
      <x:c r="K51" s="64"/>
      <x:c r="L51" s="96"/>
      <x:c r="M51" s="64"/>
      <x:c r="N51" s="65"/>
    </x:row>
    <x:row r="52">
      <x:c r="A52" s="63"/>
      <x:c r="B52" s="64"/>
      <x:c r="C52" s="64"/>
      <x:c r="D52" s="64"/>
      <x:c r="E52" s="64"/>
      <x:c r="F52" s="96"/>
      <x:c r="G52" s="64"/>
      <x:c r="H52" s="125"/>
      <x:c r="I52" s="64"/>
      <x:c r="J52" s="64"/>
      <x:c r="K52" s="64"/>
      <x:c r="L52" s="96"/>
      <x:c r="M52" s="64"/>
      <x:c r="N52" s="65"/>
    </x:row>
    <x:row r="53">
      <x:c r="A53" s="63"/>
      <x:c r="B53" s="64"/>
      <x:c r="C53" s="64"/>
      <x:c r="D53" s="64"/>
      <x:c r="E53" s="64"/>
      <x:c r="F53" s="96"/>
      <x:c r="G53" s="64"/>
      <x:c r="H53" s="125"/>
      <x:c r="I53" s="64"/>
      <x:c r="J53" s="64"/>
      <x:c r="K53" s="64"/>
      <x:c r="L53" s="96"/>
      <x:c r="M53" s="64"/>
      <x:c r="N53" s="65"/>
    </x:row>
    <x:row r="54">
      <x:c r="A54" s="63"/>
      <x:c r="B54" s="64"/>
      <x:c r="C54" s="64"/>
      <x:c r="D54" s="64"/>
      <x:c r="E54" s="64"/>
      <x:c r="F54" s="96"/>
      <x:c r="G54" s="64"/>
      <x:c r="H54" s="125"/>
      <x:c r="I54" s="64"/>
      <x:c r="J54" s="64"/>
      <x:c r="K54" s="64"/>
      <x:c r="L54" s="96"/>
      <x:c r="M54" s="64"/>
      <x:c r="N54" s="65"/>
    </x:row>
    <x:row r="55">
      <x:c r="A55" s="63"/>
      <x:c r="B55" s="64"/>
      <x:c r="C55" s="64"/>
      <x:c r="D55" s="64"/>
      <x:c r="E55" s="64"/>
      <x:c r="F55" s="96"/>
      <x:c r="G55" s="64"/>
      <x:c r="H55" s="125"/>
      <x:c r="I55" s="64"/>
      <x:c r="J55" s="64"/>
      <x:c r="K55" s="64"/>
      <x:c r="L55" s="96"/>
      <x:c r="M55" s="64"/>
      <x:c r="N55" s="65"/>
    </x:row>
    <x:row r="56">
      <x:c r="A56" s="63"/>
      <x:c r="B56" s="64"/>
      <x:c r="C56" s="64"/>
      <x:c r="D56" s="64"/>
      <x:c r="E56" s="64"/>
      <x:c r="F56" s="96"/>
      <x:c r="G56" s="64"/>
      <x:c r="H56" s="125"/>
      <x:c r="I56" s="64"/>
      <x:c r="J56" s="64"/>
      <x:c r="K56" s="64"/>
      <x:c r="L56" s="96"/>
      <x:c r="M56" s="64"/>
      <x:c r="N56" s="65"/>
    </x:row>
    <x:row r="57">
      <x:c r="A57" s="63"/>
      <x:c r="B57" s="64"/>
      <x:c r="C57" s="64"/>
      <x:c r="D57" s="64"/>
      <x:c r="E57" s="64"/>
      <x:c r="F57" s="96"/>
      <x:c r="G57" s="64"/>
      <x:c r="H57" s="125"/>
      <x:c r="I57" s="64"/>
      <x:c r="J57" s="64"/>
      <x:c r="K57" s="64"/>
      <x:c r="L57" s="96"/>
      <x:c r="M57" s="64"/>
      <x:c r="N57" s="65"/>
    </x:row>
    <x:row r="58">
      <x:c r="A58" s="63"/>
      <x:c r="B58" s="64"/>
      <x:c r="C58" s="64"/>
      <x:c r="D58" s="64"/>
      <x:c r="E58" s="64"/>
      <x:c r="F58" s="96"/>
      <x:c r="G58" s="64"/>
      <x:c r="H58" s="125"/>
      <x:c r="I58" s="64"/>
      <x:c r="J58" s="64"/>
      <x:c r="K58" s="64"/>
      <x:c r="L58" s="96"/>
      <x:c r="M58" s="64"/>
      <x:c r="N58" s="65"/>
    </x:row>
    <x:row r="59">
      <x:c r="A59" s="63"/>
      <x:c r="B59" s="64"/>
      <x:c r="C59" s="64"/>
      <x:c r="D59" s="64"/>
      <x:c r="E59" s="64"/>
      <x:c r="F59" s="96"/>
      <x:c r="G59" s="64"/>
      <x:c r="H59" s="125"/>
      <x:c r="I59" s="64"/>
      <x:c r="J59" s="64"/>
      <x:c r="K59" s="64"/>
      <x:c r="L59" s="96"/>
      <x:c r="M59" s="64"/>
      <x:c r="N59" s="65"/>
    </x:row>
    <x:row r="60">
      <x:c r="A60" s="63"/>
      <x:c r="B60" s="64"/>
      <x:c r="C60" s="64"/>
      <x:c r="D60" s="64"/>
      <x:c r="E60" s="64"/>
      <x:c r="F60" s="96"/>
      <x:c r="G60" s="64"/>
      <x:c r="H60" s="125"/>
      <x:c r="I60" s="64"/>
      <x:c r="J60" s="64"/>
      <x:c r="K60" s="64"/>
      <x:c r="L60" s="96"/>
      <x:c r="M60" s="64"/>
      <x:c r="N60" s="65"/>
    </x:row>
    <x:row r="61">
      <x:c r="A61" s="63"/>
      <x:c r="B61" s="64"/>
      <x:c r="C61" s="64"/>
      <x:c r="D61" s="64"/>
      <x:c r="E61" s="64"/>
      <x:c r="F61" s="96"/>
      <x:c r="G61" s="64"/>
      <x:c r="H61" s="125"/>
      <x:c r="I61" s="64"/>
      <x:c r="J61" s="64"/>
      <x:c r="K61" s="64"/>
      <x:c r="L61" s="96"/>
      <x:c r="M61" s="64"/>
      <x:c r="N61" s="65"/>
    </x:row>
    <x:row r="62">
      <x:c r="A62" s="63"/>
      <x:c r="B62" s="64"/>
      <x:c r="C62" s="64"/>
      <x:c r="D62" s="64"/>
      <x:c r="E62" s="64"/>
      <x:c r="F62" s="96"/>
      <x:c r="G62" s="64"/>
      <x:c r="H62" s="125"/>
      <x:c r="I62" s="64"/>
      <x:c r="J62" s="64"/>
      <x:c r="K62" s="64"/>
      <x:c r="L62" s="96"/>
      <x:c r="M62" s="64"/>
      <x:c r="N62" s="65"/>
    </x:row>
    <x:row r="63">
      <x:c r="A63" s="63"/>
      <x:c r="B63" s="64"/>
      <x:c r="C63" s="64"/>
      <x:c r="D63" s="64"/>
      <x:c r="E63" s="64"/>
      <x:c r="F63" s="96"/>
      <x:c r="G63" s="64"/>
      <x:c r="H63" s="125"/>
      <x:c r="I63" s="64"/>
      <x:c r="J63" s="64"/>
      <x:c r="K63" s="64"/>
      <x:c r="L63" s="96"/>
      <x:c r="M63" s="64"/>
      <x:c r="N63" s="65"/>
    </x:row>
    <x:row r="64">
      <x:c r="A64" s="63"/>
      <x:c r="B64" s="64"/>
      <x:c r="C64" s="64"/>
      <x:c r="D64" s="64"/>
      <x:c r="E64" s="64"/>
      <x:c r="F64" s="96"/>
      <x:c r="G64" s="64"/>
      <x:c r="H64" s="125"/>
      <x:c r="I64" s="64"/>
      <x:c r="J64" s="64"/>
      <x:c r="K64" s="64"/>
      <x:c r="L64" s="96"/>
      <x:c r="M64" s="64"/>
      <x:c r="N64" s="65"/>
    </x:row>
    <x:row r="65">
      <x:c r="A65" s="63"/>
      <x:c r="B65" s="64"/>
      <x:c r="C65" s="64"/>
      <x:c r="D65" s="64"/>
      <x:c r="E65" s="64"/>
      <x:c r="F65" s="96"/>
      <x:c r="G65" s="64"/>
      <x:c r="H65" s="125"/>
      <x:c r="I65" s="64"/>
      <x:c r="J65" s="64"/>
      <x:c r="K65" s="64"/>
      <x:c r="L65" s="96"/>
      <x:c r="M65" s="64"/>
      <x:c r="N65" s="65"/>
    </x:row>
    <x:row r="66">
      <x:c r="A66" s="63"/>
      <x:c r="B66" s="64"/>
      <x:c r="C66" s="64"/>
      <x:c r="D66" s="64"/>
      <x:c r="E66" s="64"/>
      <x:c r="F66" s="96"/>
      <x:c r="G66" s="64"/>
      <x:c r="H66" s="125"/>
      <x:c r="I66" s="64"/>
      <x:c r="J66" s="64"/>
      <x:c r="K66" s="64"/>
      <x:c r="L66" s="96"/>
      <x:c r="M66" s="64"/>
      <x:c r="N66" s="65"/>
    </x:row>
    <x:row r="67">
      <x:c r="A67" s="63"/>
      <x:c r="B67" s="64"/>
      <x:c r="C67" s="64"/>
      <x:c r="D67" s="64"/>
      <x:c r="E67" s="64"/>
      <x:c r="F67" s="96"/>
      <x:c r="G67" s="64"/>
      <x:c r="H67" s="125"/>
      <x:c r="I67" s="64"/>
      <x:c r="J67" s="64"/>
      <x:c r="K67" s="64"/>
      <x:c r="L67" s="96"/>
      <x:c r="M67" s="64"/>
      <x:c r="N67" s="65"/>
    </x:row>
    <x:row r="68">
      <x:c r="A68" s="63"/>
      <x:c r="B68" s="64"/>
      <x:c r="C68" s="64"/>
      <x:c r="D68" s="64"/>
      <x:c r="E68" s="64"/>
      <x:c r="F68" s="96"/>
      <x:c r="G68" s="64"/>
      <x:c r="H68" s="125"/>
      <x:c r="I68" s="64"/>
      <x:c r="J68" s="64"/>
      <x:c r="K68" s="64"/>
      <x:c r="L68" s="96"/>
      <x:c r="M68" s="64"/>
      <x:c r="N68" s="65"/>
    </x:row>
    <x:row r="69">
      <x:c r="A69" s="63"/>
      <x:c r="B69" s="64"/>
      <x:c r="C69" s="64"/>
      <x:c r="D69" s="64"/>
      <x:c r="E69" s="64"/>
      <x:c r="F69" s="96"/>
      <x:c r="G69" s="64"/>
      <x:c r="H69" s="125"/>
      <x:c r="I69" s="64"/>
      <x:c r="J69" s="64"/>
      <x:c r="K69" s="64"/>
      <x:c r="L69" s="96"/>
      <x:c r="M69" s="64"/>
      <x:c r="N69" s="65"/>
    </x:row>
    <x:row r="70">
      <x:c r="A70" s="63"/>
      <x:c r="B70" s="64"/>
      <x:c r="C70" s="64"/>
      <x:c r="D70" s="64"/>
      <x:c r="E70" s="64"/>
      <x:c r="F70" s="96"/>
      <x:c r="G70" s="64"/>
      <x:c r="H70" s="125"/>
      <x:c r="I70" s="64"/>
      <x:c r="J70" s="64"/>
      <x:c r="K70" s="64"/>
      <x:c r="L70" s="96"/>
      <x:c r="M70" s="64"/>
      <x:c r="N70" s="65"/>
    </x:row>
    <x:row r="71">
      <x:c r="A71" s="63"/>
      <x:c r="B71" s="64"/>
      <x:c r="C71" s="64"/>
      <x:c r="D71" s="64"/>
      <x:c r="E71" s="64"/>
      <x:c r="F71" s="96"/>
      <x:c r="G71" s="64"/>
      <x:c r="H71" s="125"/>
      <x:c r="I71" s="64"/>
      <x:c r="J71" s="64"/>
      <x:c r="K71" s="64"/>
      <x:c r="L71" s="96"/>
      <x:c r="M71" s="64"/>
      <x:c r="N71" s="65"/>
    </x:row>
    <x:row r="72">
      <x:c r="A72" s="63"/>
      <x:c r="B72" s="64"/>
      <x:c r="C72" s="64"/>
      <x:c r="D72" s="64"/>
      <x:c r="E72" s="64"/>
      <x:c r="F72" s="96"/>
      <x:c r="G72" s="64"/>
      <x:c r="H72" s="125"/>
      <x:c r="I72" s="64"/>
      <x:c r="J72" s="64"/>
      <x:c r="K72" s="64"/>
      <x:c r="L72" s="96"/>
      <x:c r="M72" s="64"/>
      <x:c r="N72" s="65"/>
    </x:row>
    <x:row r="73">
      <x:c r="A73" s="63"/>
      <x:c r="B73" s="64"/>
      <x:c r="C73" s="64"/>
      <x:c r="D73" s="64"/>
      <x:c r="E73" s="64"/>
      <x:c r="F73" s="96"/>
      <x:c r="G73" s="64"/>
      <x:c r="H73" s="125"/>
      <x:c r="I73" s="64"/>
      <x:c r="J73" s="64"/>
      <x:c r="K73" s="64"/>
      <x:c r="L73" s="96"/>
      <x:c r="M73" s="64"/>
      <x:c r="N73" s="65"/>
    </x:row>
    <x:row r="74">
      <x:c r="A74" s="63"/>
      <x:c r="B74" s="64"/>
      <x:c r="C74" s="64"/>
      <x:c r="D74" s="64"/>
      <x:c r="E74" s="64"/>
      <x:c r="F74" s="96"/>
      <x:c r="G74" s="64"/>
      <x:c r="H74" s="125"/>
      <x:c r="I74" s="64"/>
      <x:c r="J74" s="64"/>
      <x:c r="K74" s="64"/>
      <x:c r="L74" s="96"/>
      <x:c r="M74" s="64"/>
      <x:c r="N74" s="65"/>
    </x:row>
    <x:row r="75">
      <x:c r="A75" s="63"/>
      <x:c r="B75" s="64"/>
      <x:c r="C75" s="64"/>
      <x:c r="D75" s="64"/>
      <x:c r="E75" s="64"/>
      <x:c r="F75" s="96"/>
      <x:c r="G75" s="64"/>
      <x:c r="H75" s="125"/>
      <x:c r="I75" s="64"/>
      <x:c r="J75" s="64"/>
      <x:c r="K75" s="64"/>
      <x:c r="L75" s="96"/>
      <x:c r="M75" s="64"/>
      <x:c r="N75" s="65"/>
    </x:row>
    <x:row r="76">
      <x:c r="A76" s="63"/>
      <x:c r="B76" s="64"/>
      <x:c r="C76" s="64"/>
      <x:c r="D76" s="64"/>
      <x:c r="E76" s="64"/>
      <x:c r="F76" s="96"/>
      <x:c r="G76" s="64"/>
      <x:c r="H76" s="125"/>
      <x:c r="I76" s="64"/>
      <x:c r="J76" s="64"/>
      <x:c r="K76" s="64"/>
      <x:c r="L76" s="96"/>
      <x:c r="M76" s="64"/>
      <x:c r="N76" s="65"/>
    </x:row>
    <x:row r="77">
      <x:c r="A77" s="63"/>
      <x:c r="B77" s="64"/>
      <x:c r="C77" s="64"/>
      <x:c r="D77" s="64"/>
      <x:c r="E77" s="64"/>
      <x:c r="F77" s="96"/>
      <x:c r="G77" s="64"/>
      <x:c r="H77" s="125"/>
      <x:c r="I77" s="64"/>
      <x:c r="J77" s="64"/>
      <x:c r="K77" s="64"/>
      <x:c r="L77" s="96"/>
      <x:c r="M77" s="64"/>
      <x:c r="N77" s="65"/>
    </x:row>
    <x:row r="78">
      <x:c r="A78" s="63"/>
      <x:c r="B78" s="64"/>
      <x:c r="C78" s="64"/>
      <x:c r="D78" s="64"/>
      <x:c r="E78" s="64"/>
      <x:c r="F78" s="96"/>
      <x:c r="G78" s="64"/>
      <x:c r="H78" s="125"/>
      <x:c r="I78" s="64"/>
      <x:c r="J78" s="64"/>
      <x:c r="K78" s="64"/>
      <x:c r="L78" s="96"/>
      <x:c r="M78" s="64"/>
      <x:c r="N78" s="65"/>
    </x:row>
    <x:row r="79">
      <x:c r="A79" s="63"/>
      <x:c r="B79" s="64"/>
      <x:c r="C79" s="64"/>
      <x:c r="D79" s="64"/>
      <x:c r="E79" s="64"/>
      <x:c r="F79" s="96"/>
      <x:c r="G79" s="64"/>
      <x:c r="H79" s="125"/>
      <x:c r="I79" s="64"/>
      <x:c r="J79" s="64"/>
      <x:c r="K79" s="64"/>
      <x:c r="L79" s="96"/>
      <x:c r="M79" s="64"/>
      <x:c r="N79" s="65"/>
    </x:row>
    <x:row r="80">
      <x:c r="A80" s="63"/>
      <x:c r="B80" s="64"/>
      <x:c r="C80" s="64"/>
      <x:c r="D80" s="64"/>
      <x:c r="E80" s="64"/>
      <x:c r="F80" s="96"/>
      <x:c r="G80" s="64"/>
      <x:c r="H80" s="125"/>
      <x:c r="I80" s="64"/>
      <x:c r="J80" s="64"/>
      <x:c r="K80" s="64"/>
      <x:c r="L80" s="96"/>
      <x:c r="M80" s="64"/>
      <x:c r="N80" s="65"/>
    </x:row>
    <x:row r="81">
      <x:c r="A81" s="63"/>
      <x:c r="B81" s="64"/>
      <x:c r="C81" s="64"/>
      <x:c r="D81" s="64"/>
      <x:c r="E81" s="64"/>
      <x:c r="F81" s="96"/>
      <x:c r="G81" s="64"/>
      <x:c r="H81" s="125"/>
      <x:c r="I81" s="64"/>
      <x:c r="J81" s="64"/>
      <x:c r="K81" s="64"/>
      <x:c r="L81" s="96"/>
      <x:c r="M81" s="64"/>
      <x:c r="N81" s="65"/>
    </x:row>
    <x:row r="82">
      <x:c r="A82" s="63"/>
      <x:c r="B82" s="64"/>
      <x:c r="C82" s="64"/>
      <x:c r="D82" s="64"/>
      <x:c r="E82" s="64"/>
      <x:c r="F82" s="96"/>
      <x:c r="G82" s="64"/>
      <x:c r="H82" s="125"/>
      <x:c r="I82" s="64"/>
      <x:c r="J82" s="64"/>
      <x:c r="K82" s="64"/>
      <x:c r="L82" s="96"/>
      <x:c r="M82" s="64"/>
      <x:c r="N82" s="65"/>
    </x:row>
    <x:row r="83">
      <x:c r="A83" s="63"/>
      <x:c r="B83" s="64"/>
      <x:c r="C83" s="64"/>
      <x:c r="D83" s="64"/>
      <x:c r="E83" s="64"/>
      <x:c r="F83" s="96"/>
      <x:c r="G83" s="64"/>
      <x:c r="H83" s="125"/>
      <x:c r="I83" s="64"/>
      <x:c r="J83" s="64"/>
      <x:c r="K83" s="64"/>
      <x:c r="L83" s="96"/>
      <x:c r="M83" s="64"/>
      <x:c r="N83" s="65"/>
    </x:row>
    <x:row r="84">
      <x:c r="A84" s="63"/>
      <x:c r="B84" s="64"/>
      <x:c r="C84" s="64"/>
      <x:c r="D84" s="64"/>
      <x:c r="E84" s="64"/>
      <x:c r="F84" s="96"/>
      <x:c r="G84" s="64"/>
      <x:c r="H84" s="125"/>
      <x:c r="I84" s="64"/>
      <x:c r="J84" s="64"/>
      <x:c r="K84" s="64"/>
      <x:c r="L84" s="96"/>
      <x:c r="M84" s="64"/>
      <x:c r="N84" s="65"/>
    </x:row>
    <x:row r="85">
      <x:c r="A85" s="63"/>
      <x:c r="B85" s="64"/>
      <x:c r="C85" s="64"/>
      <x:c r="D85" s="64"/>
      <x:c r="E85" s="64"/>
      <x:c r="F85" s="96"/>
      <x:c r="G85" s="64"/>
      <x:c r="H85" s="125"/>
      <x:c r="I85" s="64"/>
      <x:c r="J85" s="64"/>
      <x:c r="K85" s="64"/>
      <x:c r="L85" s="96"/>
      <x:c r="M85" s="64"/>
      <x:c r="N85" s="65"/>
    </x:row>
    <x:row r="86">
      <x:c r="A86" s="63"/>
      <x:c r="B86" s="64"/>
      <x:c r="C86" s="64"/>
      <x:c r="D86" s="64"/>
      <x:c r="E86" s="64"/>
      <x:c r="F86" s="96"/>
      <x:c r="G86" s="64"/>
      <x:c r="H86" s="125"/>
      <x:c r="I86" s="64"/>
      <x:c r="J86" s="64"/>
      <x:c r="K86" s="64"/>
      <x:c r="L86" s="96"/>
      <x:c r="M86" s="64"/>
      <x:c r="N86" s="65"/>
    </x:row>
    <x:row r="87">
      <x:c r="A87" s="63"/>
      <x:c r="B87" s="64"/>
      <x:c r="C87" s="64"/>
      <x:c r="D87" s="64"/>
      <x:c r="E87" s="64"/>
      <x:c r="F87" s="96"/>
      <x:c r="G87" s="64"/>
      <x:c r="H87" s="125"/>
      <x:c r="I87" s="64"/>
      <x:c r="J87" s="64"/>
      <x:c r="K87" s="64"/>
      <x:c r="L87" s="96"/>
      <x:c r="M87" s="64"/>
      <x:c r="N87" s="65"/>
    </x:row>
    <x:row r="88">
      <x:c r="A88" s="63"/>
      <x:c r="B88" s="64"/>
      <x:c r="C88" s="64"/>
      <x:c r="D88" s="64"/>
      <x:c r="E88" s="64"/>
      <x:c r="F88" s="96"/>
      <x:c r="G88" s="64"/>
      <x:c r="H88" s="125"/>
      <x:c r="I88" s="64"/>
      <x:c r="J88" s="64"/>
      <x:c r="K88" s="64"/>
      <x:c r="L88" s="96"/>
      <x:c r="M88" s="64"/>
      <x:c r="N88" s="65"/>
    </x:row>
    <x:row r="89">
      <x:c r="A89" s="63"/>
      <x:c r="B89" s="64"/>
      <x:c r="C89" s="64"/>
      <x:c r="D89" s="64"/>
      <x:c r="E89" s="64"/>
      <x:c r="F89" s="96"/>
      <x:c r="G89" s="64"/>
      <x:c r="H89" s="125"/>
      <x:c r="I89" s="64"/>
      <x:c r="J89" s="64"/>
      <x:c r="K89" s="64"/>
      <x:c r="L89" s="96"/>
      <x:c r="M89" s="64"/>
      <x:c r="N89" s="65"/>
    </x:row>
    <x:row r="90">
      <x:c r="A90" s="63"/>
      <x:c r="B90" s="64"/>
      <x:c r="C90" s="64"/>
      <x:c r="D90" s="64"/>
      <x:c r="E90" s="64"/>
      <x:c r="F90" s="96"/>
      <x:c r="G90" s="64"/>
      <x:c r="H90" s="125"/>
      <x:c r="I90" s="64"/>
      <x:c r="J90" s="64"/>
      <x:c r="K90" s="64"/>
      <x:c r="L90" s="96"/>
      <x:c r="M90" s="64"/>
      <x:c r="N90" s="65"/>
    </x:row>
    <x:row r="91">
      <x:c r="A91" s="63"/>
      <x:c r="B91" s="64"/>
      <x:c r="C91" s="64"/>
      <x:c r="D91" s="64"/>
      <x:c r="E91" s="64"/>
      <x:c r="F91" s="96"/>
      <x:c r="G91" s="64"/>
      <x:c r="H91" s="125"/>
      <x:c r="I91" s="64"/>
      <x:c r="J91" s="64"/>
      <x:c r="K91" s="64"/>
      <x:c r="L91" s="96"/>
      <x:c r="M91" s="64"/>
      <x:c r="N91" s="65"/>
    </x:row>
    <x:row r="92">
      <x:c r="A92" s="63"/>
      <x:c r="B92" s="64"/>
      <x:c r="C92" s="64"/>
      <x:c r="D92" s="64"/>
      <x:c r="E92" s="64"/>
      <x:c r="F92" s="96"/>
      <x:c r="G92" s="64"/>
      <x:c r="H92" s="125"/>
      <x:c r="I92" s="64"/>
      <x:c r="J92" s="64"/>
      <x:c r="K92" s="64"/>
      <x:c r="L92" s="96"/>
      <x:c r="M92" s="64"/>
      <x:c r="N92" s="65"/>
    </x:row>
    <x:row r="93">
      <x:c r="A93" s="63"/>
      <x:c r="B93" s="64"/>
      <x:c r="C93" s="64"/>
      <x:c r="D93" s="64"/>
      <x:c r="E93" s="64"/>
      <x:c r="F93" s="96"/>
      <x:c r="G93" s="64"/>
      <x:c r="H93" s="125"/>
      <x:c r="I93" s="64"/>
      <x:c r="J93" s="64"/>
      <x:c r="K93" s="64"/>
      <x:c r="L93" s="96"/>
      <x:c r="M93" s="64"/>
      <x:c r="N93" s="65"/>
    </x:row>
    <x:row r="94">
      <x:c r="A94" s="63"/>
      <x:c r="B94" s="64"/>
      <x:c r="C94" s="64"/>
      <x:c r="D94" s="64"/>
      <x:c r="E94" s="64"/>
      <x:c r="F94" s="96"/>
      <x:c r="G94" s="64"/>
      <x:c r="H94" s="125"/>
      <x:c r="I94" s="64"/>
      <x:c r="J94" s="64"/>
      <x:c r="K94" s="64"/>
      <x:c r="L94" s="96"/>
      <x:c r="M94" s="64"/>
      <x:c r="N94" s="65"/>
    </x:row>
    <x:row r="95">
      <x:c r="A95" s="63"/>
      <x:c r="B95" s="64"/>
      <x:c r="C95" s="64"/>
      <x:c r="D95" s="64"/>
      <x:c r="E95" s="64"/>
      <x:c r="F95" s="96"/>
      <x:c r="G95" s="64"/>
      <x:c r="H95" s="125"/>
      <x:c r="I95" s="64"/>
      <x:c r="J95" s="64"/>
      <x:c r="K95" s="64"/>
      <x:c r="L95" s="96"/>
      <x:c r="M95" s="64"/>
      <x:c r="N95" s="65"/>
    </x:row>
    <x:row r="96">
      <x:c r="A96" s="63"/>
      <x:c r="B96" s="64"/>
      <x:c r="C96" s="64"/>
      <x:c r="D96" s="64"/>
      <x:c r="E96" s="64"/>
      <x:c r="F96" s="96"/>
      <x:c r="G96" s="64"/>
      <x:c r="H96" s="125"/>
      <x:c r="I96" s="64"/>
      <x:c r="J96" s="64"/>
      <x:c r="K96" s="64"/>
      <x:c r="L96" s="96"/>
      <x:c r="M96" s="64"/>
      <x:c r="N96" s="65"/>
    </x:row>
    <x:row r="97">
      <x:c r="A97" s="63"/>
      <x:c r="B97" s="64"/>
      <x:c r="C97" s="64"/>
      <x:c r="D97" s="64"/>
      <x:c r="E97" s="64"/>
      <x:c r="F97" s="96"/>
      <x:c r="G97" s="64"/>
      <x:c r="H97" s="125"/>
      <x:c r="I97" s="64"/>
      <x:c r="J97" s="64"/>
      <x:c r="K97" s="64"/>
      <x:c r="L97" s="96"/>
      <x:c r="M97" s="64"/>
      <x:c r="N97" s="65"/>
    </x:row>
    <x:row r="98">
      <x:c r="A98" s="63"/>
      <x:c r="B98" s="64"/>
      <x:c r="C98" s="64"/>
      <x:c r="D98" s="64"/>
      <x:c r="E98" s="64"/>
      <x:c r="F98" s="96"/>
      <x:c r="G98" s="64"/>
      <x:c r="H98" s="125"/>
      <x:c r="I98" s="64"/>
      <x:c r="J98" s="64"/>
      <x:c r="K98" s="64"/>
      <x:c r="L98" s="96"/>
      <x:c r="M98" s="64"/>
      <x:c r="N98" s="65"/>
    </x:row>
    <x:row r="99">
      <x:c r="A99" s="63"/>
      <x:c r="B99" s="64"/>
      <x:c r="C99" s="64"/>
      <x:c r="D99" s="64"/>
      <x:c r="E99" s="64"/>
      <x:c r="F99" s="96"/>
      <x:c r="G99" s="64"/>
      <x:c r="H99" s="125"/>
      <x:c r="I99" s="64"/>
      <x:c r="J99" s="64"/>
      <x:c r="K99" s="64"/>
      <x:c r="L99" s="96"/>
      <x:c r="M99" s="64"/>
      <x:c r="N99" s="65"/>
    </x:row>
    <x:row r="100">
      <x:c r="A100" s="63"/>
      <x:c r="B100" s="64"/>
      <x:c r="C100" s="64"/>
      <x:c r="D100" s="64"/>
      <x:c r="E100" s="64"/>
      <x:c r="F100" s="96"/>
      <x:c r="G100" s="64"/>
      <x:c r="H100" s="125"/>
      <x:c r="I100" s="64"/>
      <x:c r="J100" s="64"/>
      <x:c r="K100" s="64"/>
      <x:c r="L100" s="96"/>
      <x:c r="M100" s="64"/>
      <x:c r="N100" s="65"/>
    </x:row>
    <x:row r="101">
      <x:c r="A101" s="63"/>
      <x:c r="B101" s="64"/>
      <x:c r="C101" s="64"/>
      <x:c r="D101" s="64"/>
      <x:c r="E101" s="64"/>
      <x:c r="F101" s="96"/>
      <x:c r="G101" s="64"/>
      <x:c r="H101" s="125"/>
      <x:c r="I101" s="64"/>
      <x:c r="J101" s="64"/>
      <x:c r="K101" s="64"/>
      <x:c r="L101" s="96"/>
      <x:c r="M101" s="64"/>
      <x:c r="N101" s="65"/>
    </x:row>
    <x:row r="102">
      <x:c r="A102" s="63"/>
      <x:c r="B102" s="64"/>
      <x:c r="C102" s="64"/>
      <x:c r="D102" s="64"/>
      <x:c r="E102" s="64"/>
      <x:c r="F102" s="96"/>
      <x:c r="G102" s="64"/>
      <x:c r="H102" s="125"/>
      <x:c r="I102" s="64"/>
      <x:c r="J102" s="64"/>
      <x:c r="K102" s="64"/>
      <x:c r="L102" s="96"/>
      <x:c r="M102" s="64"/>
      <x:c r="N102" s="65"/>
    </x:row>
    <x:row r="103">
      <x:c r="A103" s="63"/>
      <x:c r="B103" s="64"/>
      <x:c r="C103" s="64"/>
      <x:c r="D103" s="64"/>
      <x:c r="E103" s="64"/>
      <x:c r="F103" s="96"/>
      <x:c r="G103" s="64"/>
      <x:c r="H103" s="125"/>
      <x:c r="I103" s="64"/>
      <x:c r="J103" s="64"/>
      <x:c r="K103" s="64"/>
      <x:c r="L103" s="96"/>
      <x:c r="M103" s="64"/>
      <x:c r="N103" s="65"/>
    </x:row>
    <x:row r="104">
      <x:c r="A104" s="63"/>
      <x:c r="B104" s="64"/>
      <x:c r="C104" s="64"/>
      <x:c r="D104" s="64"/>
      <x:c r="E104" s="64"/>
      <x:c r="F104" s="96"/>
      <x:c r="G104" s="64"/>
      <x:c r="H104" s="125"/>
      <x:c r="I104" s="64"/>
      <x:c r="J104" s="64"/>
      <x:c r="K104" s="64"/>
      <x:c r="L104" s="96"/>
      <x:c r="M104" s="64"/>
      <x:c r="N104" s="65"/>
    </x:row>
    <x:row r="105">
      <x:c r="A105" s="63"/>
      <x:c r="B105" s="64"/>
      <x:c r="C105" s="64"/>
      <x:c r="D105" s="64"/>
      <x:c r="E105" s="64"/>
      <x:c r="F105" s="96"/>
      <x:c r="G105" s="64"/>
      <x:c r="H105" s="125"/>
      <x:c r="I105" s="64"/>
      <x:c r="J105" s="64"/>
      <x:c r="K105" s="64"/>
      <x:c r="L105" s="96"/>
      <x:c r="M105" s="64"/>
      <x:c r="N105" s="65"/>
    </x:row>
    <x:row r="106">
      <x:c r="A106" s="63"/>
      <x:c r="B106" s="64"/>
      <x:c r="C106" s="64"/>
      <x:c r="D106" s="64"/>
      <x:c r="E106" s="64"/>
      <x:c r="F106" s="96"/>
      <x:c r="G106" s="64"/>
      <x:c r="H106" s="125"/>
      <x:c r="I106" s="64"/>
      <x:c r="J106" s="64"/>
      <x:c r="K106" s="64"/>
      <x:c r="L106" s="96"/>
      <x:c r="M106" s="64"/>
      <x:c r="N106" s="65"/>
    </x:row>
    <x:row r="107">
      <x:c r="A107" s="63"/>
      <x:c r="B107" s="64"/>
      <x:c r="C107" s="64"/>
      <x:c r="D107" s="64"/>
      <x:c r="E107" s="64"/>
      <x:c r="F107" s="96"/>
      <x:c r="G107" s="64"/>
      <x:c r="H107" s="125"/>
      <x:c r="I107" s="64"/>
      <x:c r="J107" s="64"/>
      <x:c r="K107" s="64"/>
      <x:c r="L107" s="96"/>
      <x:c r="M107" s="64"/>
      <x:c r="N107" s="65"/>
    </x:row>
    <x:row r="108">
      <x:c r="A108" s="63"/>
      <x:c r="B108" s="64"/>
      <x:c r="C108" s="64"/>
      <x:c r="D108" s="64"/>
      <x:c r="E108" s="64"/>
      <x:c r="F108" s="96"/>
      <x:c r="G108" s="64"/>
      <x:c r="H108" s="125"/>
      <x:c r="I108" s="64"/>
      <x:c r="J108" s="64"/>
      <x:c r="K108" s="64"/>
      <x:c r="L108" s="96"/>
      <x:c r="M108" s="64"/>
      <x:c r="N108" s="65"/>
    </x:row>
    <x:row r="109">
      <x:c r="A109" s="63"/>
      <x:c r="B109" s="64"/>
      <x:c r="C109" s="64"/>
      <x:c r="D109" s="64"/>
      <x:c r="E109" s="64"/>
      <x:c r="F109" s="96"/>
      <x:c r="G109" s="64"/>
      <x:c r="H109" s="125"/>
      <x:c r="I109" s="64"/>
      <x:c r="J109" s="64"/>
      <x:c r="K109" s="64"/>
      <x:c r="L109" s="96"/>
      <x:c r="M109" s="64"/>
      <x:c r="N109" s="65"/>
    </x:row>
    <x:row r="110">
      <x:c r="A110" s="63"/>
      <x:c r="B110" s="64"/>
      <x:c r="C110" s="64"/>
      <x:c r="D110" s="64"/>
      <x:c r="E110" s="64"/>
      <x:c r="F110" s="96"/>
      <x:c r="G110" s="64"/>
      <x:c r="H110" s="125"/>
      <x:c r="I110" s="64"/>
      <x:c r="J110" s="64"/>
      <x:c r="K110" s="64"/>
      <x:c r="L110" s="96"/>
      <x:c r="M110" s="64"/>
      <x:c r="N110" s="65"/>
    </x:row>
    <x:row r="111">
      <x:c r="A111" s="63"/>
      <x:c r="B111" s="64"/>
      <x:c r="C111" s="64"/>
      <x:c r="D111" s="64"/>
      <x:c r="E111" s="64"/>
      <x:c r="F111" s="96"/>
      <x:c r="G111" s="64"/>
      <x:c r="H111" s="125"/>
      <x:c r="I111" s="64"/>
      <x:c r="J111" s="64"/>
      <x:c r="K111" s="64"/>
      <x:c r="L111" s="96"/>
      <x:c r="M111" s="64"/>
      <x:c r="N111" s="65"/>
    </x:row>
    <x:row r="112">
      <x:c r="A112" s="63"/>
      <x:c r="B112" s="64"/>
      <x:c r="C112" s="64"/>
      <x:c r="D112" s="64"/>
      <x:c r="E112" s="64"/>
      <x:c r="F112" s="96"/>
      <x:c r="G112" s="64"/>
      <x:c r="H112" s="125"/>
      <x:c r="I112" s="64"/>
      <x:c r="J112" s="64"/>
      <x:c r="K112" s="64"/>
      <x:c r="L112" s="96"/>
      <x:c r="M112" s="64"/>
      <x:c r="N112" s="65"/>
    </x:row>
    <x:row r="113">
      <x:c r="A113" s="63"/>
      <x:c r="B113" s="64"/>
      <x:c r="C113" s="64"/>
      <x:c r="D113" s="64"/>
      <x:c r="E113" s="64"/>
      <x:c r="F113" s="96"/>
      <x:c r="G113" s="64"/>
      <x:c r="H113" s="125"/>
      <x:c r="I113" s="64"/>
      <x:c r="J113" s="64"/>
      <x:c r="K113" s="64"/>
      <x:c r="L113" s="96"/>
      <x:c r="M113" s="64"/>
      <x:c r="N113" s="65"/>
    </x:row>
    <x:row r="114">
      <x:c r="A114" s="63"/>
      <x:c r="B114" s="64"/>
      <x:c r="C114" s="64"/>
      <x:c r="D114" s="64"/>
      <x:c r="E114" s="64"/>
      <x:c r="F114" s="96"/>
      <x:c r="G114" s="64"/>
      <x:c r="H114" s="125"/>
      <x:c r="I114" s="64"/>
      <x:c r="J114" s="64"/>
      <x:c r="K114" s="64"/>
      <x:c r="L114" s="96"/>
      <x:c r="M114" s="64"/>
      <x:c r="N114" s="65"/>
    </x:row>
    <x:row r="115">
      <x:c r="A115" s="63"/>
      <x:c r="B115" s="64"/>
      <x:c r="C115" s="64"/>
      <x:c r="D115" s="64"/>
      <x:c r="E115" s="64"/>
      <x:c r="F115" s="96"/>
      <x:c r="G115" s="64"/>
      <x:c r="H115" s="125"/>
      <x:c r="I115" s="64"/>
      <x:c r="J115" s="64"/>
      <x:c r="K115" s="64"/>
      <x:c r="L115" s="96"/>
      <x:c r="M115" s="64"/>
      <x:c r="N115" s="65"/>
    </x:row>
    <x:row r="116">
      <x:c r="A116" s="63"/>
      <x:c r="B116" s="64"/>
      <x:c r="C116" s="64"/>
      <x:c r="D116" s="64"/>
      <x:c r="E116" s="64"/>
      <x:c r="F116" s="96"/>
      <x:c r="G116" s="64"/>
      <x:c r="H116" s="125"/>
      <x:c r="I116" s="64"/>
      <x:c r="J116" s="64"/>
      <x:c r="K116" s="64"/>
      <x:c r="L116" s="96"/>
      <x:c r="M116" s="64"/>
      <x:c r="N116" s="65"/>
    </x:row>
    <x:row r="117">
      <x:c r="A117" s="63"/>
      <x:c r="B117" s="64"/>
      <x:c r="C117" s="64"/>
      <x:c r="D117" s="64"/>
      <x:c r="E117" s="64"/>
      <x:c r="F117" s="96"/>
      <x:c r="G117" s="64"/>
      <x:c r="H117" s="125"/>
      <x:c r="I117" s="64"/>
      <x:c r="J117" s="64"/>
      <x:c r="K117" s="64"/>
      <x:c r="L117" s="96"/>
      <x:c r="M117" s="64"/>
      <x:c r="N117" s="65"/>
    </x:row>
    <x:row r="118">
      <x:c r="A118" s="63"/>
      <x:c r="B118" s="64"/>
      <x:c r="C118" s="64"/>
      <x:c r="D118" s="64"/>
      <x:c r="E118" s="64"/>
      <x:c r="F118" s="96"/>
      <x:c r="G118" s="64"/>
      <x:c r="H118" s="125"/>
      <x:c r="I118" s="64"/>
      <x:c r="J118" s="64"/>
      <x:c r="K118" s="64"/>
      <x:c r="L118" s="96"/>
      <x:c r="M118" s="64"/>
      <x:c r="N118" s="65"/>
    </x:row>
    <x:row r="119">
      <x:c r="A119" s="63"/>
      <x:c r="B119" s="64"/>
      <x:c r="C119" s="64"/>
      <x:c r="D119" s="64"/>
      <x:c r="E119" s="64"/>
      <x:c r="F119" s="96"/>
      <x:c r="G119" s="64"/>
      <x:c r="H119" s="125"/>
      <x:c r="I119" s="64"/>
      <x:c r="J119" s="64"/>
      <x:c r="K119" s="64"/>
      <x:c r="L119" s="96"/>
      <x:c r="M119" s="64"/>
      <x:c r="N119" s="65"/>
    </x:row>
    <x:row r="120">
      <x:c r="A120" s="63"/>
      <x:c r="B120" s="64"/>
      <x:c r="C120" s="64"/>
      <x:c r="D120" s="64"/>
      <x:c r="E120" s="64"/>
      <x:c r="F120" s="96"/>
      <x:c r="G120" s="64"/>
      <x:c r="H120" s="125"/>
      <x:c r="I120" s="64"/>
      <x:c r="J120" s="64"/>
      <x:c r="K120" s="64"/>
      <x:c r="L120" s="96"/>
      <x:c r="M120" s="64"/>
      <x:c r="N120" s="65"/>
    </x:row>
    <x:row r="121">
      <x:c r="A121" s="63"/>
      <x:c r="B121" s="64"/>
      <x:c r="C121" s="64"/>
      <x:c r="D121" s="64"/>
      <x:c r="E121" s="64"/>
      <x:c r="F121" s="96"/>
      <x:c r="G121" s="64"/>
      <x:c r="H121" s="125"/>
      <x:c r="I121" s="64"/>
      <x:c r="J121" s="64"/>
      <x:c r="K121" s="64"/>
      <x:c r="L121" s="96"/>
      <x:c r="M121" s="64"/>
      <x:c r="N121" s="65"/>
    </x:row>
    <x:row r="122">
      <x:c r="A122" s="63"/>
      <x:c r="B122" s="64"/>
      <x:c r="C122" s="64"/>
      <x:c r="D122" s="64"/>
      <x:c r="E122" s="64"/>
      <x:c r="F122" s="96"/>
      <x:c r="G122" s="64"/>
      <x:c r="H122" s="125"/>
      <x:c r="I122" s="64"/>
      <x:c r="J122" s="64"/>
      <x:c r="K122" s="64"/>
      <x:c r="L122" s="96"/>
      <x:c r="M122" s="64"/>
      <x:c r="N122" s="65"/>
    </x:row>
    <x:row r="123">
      <x:c r="A123" s="63"/>
      <x:c r="B123" s="64"/>
      <x:c r="C123" s="64"/>
      <x:c r="D123" s="64"/>
      <x:c r="E123" s="64"/>
      <x:c r="F123" s="96"/>
      <x:c r="G123" s="64"/>
      <x:c r="H123" s="125"/>
      <x:c r="I123" s="64"/>
      <x:c r="J123" s="64"/>
      <x:c r="K123" s="64"/>
      <x:c r="L123" s="96"/>
      <x:c r="M123" s="64"/>
      <x:c r="N123" s="65"/>
    </x:row>
    <x:row r="124">
      <x:c r="A124" s="63"/>
      <x:c r="B124" s="64"/>
      <x:c r="C124" s="64"/>
      <x:c r="D124" s="64"/>
      <x:c r="E124" s="64"/>
      <x:c r="F124" s="96"/>
      <x:c r="G124" s="64"/>
      <x:c r="H124" s="125"/>
      <x:c r="I124" s="64"/>
      <x:c r="J124" s="64"/>
      <x:c r="K124" s="64"/>
      <x:c r="L124" s="96"/>
      <x:c r="M124" s="64"/>
      <x:c r="N124" s="65"/>
    </x:row>
    <x:row r="125">
      <x:c r="A125" s="63"/>
      <x:c r="B125" s="64"/>
      <x:c r="C125" s="64"/>
      <x:c r="D125" s="64"/>
      <x:c r="E125" s="64"/>
      <x:c r="F125" s="96"/>
      <x:c r="G125" s="64"/>
      <x:c r="H125" s="125"/>
      <x:c r="I125" s="64"/>
      <x:c r="J125" s="64"/>
      <x:c r="K125" s="64"/>
      <x:c r="L125" s="96"/>
      <x:c r="M125" s="64"/>
      <x:c r="N125" s="65"/>
    </x:row>
    <x:row r="126">
      <x:c r="A126" s="63"/>
      <x:c r="B126" s="64"/>
      <x:c r="C126" s="64"/>
      <x:c r="D126" s="64"/>
      <x:c r="E126" s="64"/>
      <x:c r="F126" s="96"/>
      <x:c r="G126" s="64"/>
      <x:c r="H126" s="125"/>
      <x:c r="I126" s="64"/>
      <x:c r="J126" s="64"/>
      <x:c r="K126" s="64"/>
      <x:c r="L126" s="96"/>
      <x:c r="M126" s="64"/>
      <x:c r="N126" s="65"/>
    </x:row>
    <x:row r="127">
      <x:c r="A127" s="63"/>
      <x:c r="B127" s="64"/>
      <x:c r="C127" s="64"/>
      <x:c r="D127" s="64"/>
      <x:c r="E127" s="64"/>
      <x:c r="F127" s="96"/>
      <x:c r="G127" s="64"/>
      <x:c r="H127" s="125"/>
      <x:c r="I127" s="64"/>
      <x:c r="J127" s="64"/>
      <x:c r="K127" s="64"/>
      <x:c r="L127" s="96"/>
      <x:c r="M127" s="64"/>
      <x:c r="N127" s="65"/>
    </x:row>
    <x:row r="128">
      <x:c r="A128" s="63"/>
      <x:c r="B128" s="64"/>
      <x:c r="C128" s="64"/>
      <x:c r="D128" s="64"/>
      <x:c r="E128" s="64"/>
      <x:c r="F128" s="96"/>
      <x:c r="G128" s="64"/>
      <x:c r="H128" s="125"/>
      <x:c r="I128" s="64"/>
      <x:c r="J128" s="64"/>
      <x:c r="K128" s="64"/>
      <x:c r="L128" s="96"/>
      <x:c r="M128" s="64"/>
      <x:c r="N128" s="65"/>
    </x:row>
    <x:row r="129">
      <x:c r="A129" s="63"/>
      <x:c r="B129" s="64"/>
      <x:c r="C129" s="64"/>
      <x:c r="D129" s="64"/>
      <x:c r="E129" s="64"/>
      <x:c r="F129" s="96"/>
      <x:c r="G129" s="64"/>
      <x:c r="H129" s="125"/>
      <x:c r="I129" s="64"/>
      <x:c r="J129" s="64"/>
      <x:c r="K129" s="64"/>
      <x:c r="L129" s="96"/>
      <x:c r="M129" s="64"/>
      <x:c r="N129" s="65"/>
    </x:row>
    <x:row r="130">
      <x:c r="A130" s="63"/>
      <x:c r="B130" s="64"/>
      <x:c r="C130" s="64"/>
      <x:c r="D130" s="64"/>
      <x:c r="E130" s="64"/>
      <x:c r="F130" s="96"/>
      <x:c r="G130" s="64"/>
      <x:c r="H130" s="125"/>
      <x:c r="I130" s="64"/>
      <x:c r="J130" s="64"/>
      <x:c r="K130" s="64"/>
      <x:c r="L130" s="96"/>
      <x:c r="M130" s="64"/>
      <x:c r="N130" s="65"/>
    </x:row>
    <x:row r="131">
      <x:c r="A131" s="63"/>
      <x:c r="B131" s="64"/>
      <x:c r="C131" s="64"/>
      <x:c r="D131" s="64"/>
      <x:c r="E131" s="64"/>
      <x:c r="F131" s="96"/>
      <x:c r="G131" s="64"/>
      <x:c r="H131" s="125"/>
      <x:c r="I131" s="64"/>
      <x:c r="J131" s="64"/>
      <x:c r="K131" s="64"/>
      <x:c r="L131" s="96"/>
      <x:c r="M131" s="64"/>
      <x:c r="N131" s="65"/>
    </x:row>
    <x:row r="132">
      <x:c r="A132" s="63"/>
      <x:c r="B132" s="64"/>
      <x:c r="C132" s="64"/>
      <x:c r="D132" s="64"/>
      <x:c r="E132" s="64"/>
      <x:c r="F132" s="96"/>
      <x:c r="G132" s="64"/>
      <x:c r="H132" s="125"/>
      <x:c r="I132" s="64"/>
      <x:c r="J132" s="64"/>
      <x:c r="K132" s="64"/>
      <x:c r="L132" s="96"/>
      <x:c r="M132" s="64"/>
      <x:c r="N132" s="65"/>
    </x:row>
    <x:row r="133">
      <x:c r="A133" s="63"/>
      <x:c r="B133" s="64"/>
      <x:c r="C133" s="64"/>
      <x:c r="D133" s="64"/>
      <x:c r="E133" s="64"/>
      <x:c r="F133" s="96"/>
      <x:c r="G133" s="64"/>
      <x:c r="H133" s="125"/>
      <x:c r="I133" s="64"/>
      <x:c r="J133" s="64"/>
      <x:c r="K133" s="64"/>
      <x:c r="L133" s="96"/>
      <x:c r="M133" s="64"/>
      <x:c r="N133" s="65"/>
    </x:row>
    <x:row r="134">
      <x:c r="A134" s="63"/>
      <x:c r="B134" s="64"/>
      <x:c r="C134" s="64"/>
      <x:c r="D134" s="64"/>
      <x:c r="E134" s="64"/>
      <x:c r="F134" s="96"/>
      <x:c r="G134" s="64"/>
      <x:c r="H134" s="125"/>
      <x:c r="I134" s="64"/>
      <x:c r="J134" s="64"/>
      <x:c r="K134" s="64"/>
      <x:c r="L134" s="96"/>
      <x:c r="M134" s="64"/>
      <x:c r="N134" s="65"/>
    </x:row>
    <x:row r="135">
      <x:c r="A135" s="63"/>
      <x:c r="B135" s="64"/>
      <x:c r="C135" s="64"/>
      <x:c r="D135" s="64"/>
      <x:c r="E135" s="64"/>
      <x:c r="F135" s="96"/>
      <x:c r="G135" s="64"/>
      <x:c r="H135" s="125"/>
      <x:c r="I135" s="64"/>
      <x:c r="J135" s="64"/>
      <x:c r="K135" s="64"/>
      <x:c r="L135" s="96"/>
      <x:c r="M135" s="64"/>
      <x:c r="N135" s="65"/>
    </x:row>
    <x:row r="136">
      <x:c r="A136" s="63"/>
      <x:c r="B136" s="64"/>
      <x:c r="C136" s="64"/>
      <x:c r="D136" s="64"/>
      <x:c r="E136" s="64"/>
      <x:c r="F136" s="96"/>
      <x:c r="G136" s="64"/>
      <x:c r="H136" s="125"/>
      <x:c r="I136" s="64"/>
      <x:c r="J136" s="64"/>
      <x:c r="K136" s="64"/>
      <x:c r="L136" s="96"/>
      <x:c r="M136" s="64"/>
      <x:c r="N136" s="65"/>
    </x:row>
    <x:row r="137">
      <x:c r="A137" s="63"/>
      <x:c r="B137" s="64"/>
      <x:c r="C137" s="64"/>
      <x:c r="D137" s="64"/>
      <x:c r="E137" s="64"/>
      <x:c r="F137" s="96"/>
      <x:c r="G137" s="64"/>
      <x:c r="H137" s="125"/>
      <x:c r="I137" s="64"/>
      <x:c r="J137" s="64"/>
      <x:c r="K137" s="64"/>
      <x:c r="L137" s="96"/>
      <x:c r="M137" s="64"/>
      <x:c r="N137" s="65"/>
    </x:row>
    <x:row r="138">
      <x:c r="A138" s="63"/>
      <x:c r="B138" s="64"/>
      <x:c r="C138" s="64"/>
      <x:c r="D138" s="64"/>
      <x:c r="E138" s="64"/>
      <x:c r="F138" s="96"/>
      <x:c r="G138" s="64"/>
      <x:c r="H138" s="125"/>
      <x:c r="I138" s="64"/>
      <x:c r="J138" s="64"/>
      <x:c r="K138" s="64"/>
      <x:c r="L138" s="96"/>
      <x:c r="M138" s="64"/>
      <x:c r="N138" s="65"/>
    </x:row>
    <x:row r="139">
      <x:c r="A139" s="63"/>
      <x:c r="B139" s="64"/>
      <x:c r="C139" s="64"/>
      <x:c r="D139" s="64"/>
      <x:c r="E139" s="64"/>
      <x:c r="F139" s="96"/>
      <x:c r="G139" s="64"/>
      <x:c r="H139" s="125"/>
      <x:c r="I139" s="64"/>
      <x:c r="J139" s="64"/>
      <x:c r="K139" s="64"/>
      <x:c r="L139" s="96"/>
      <x:c r="M139" s="64"/>
      <x:c r="N139" s="65"/>
    </x:row>
    <x:row r="140">
      <x:c r="A140" s="63"/>
      <x:c r="B140" s="64"/>
      <x:c r="C140" s="64"/>
      <x:c r="D140" s="64"/>
      <x:c r="E140" s="64"/>
      <x:c r="F140" s="96"/>
      <x:c r="G140" s="64"/>
      <x:c r="H140" s="125"/>
      <x:c r="I140" s="64"/>
      <x:c r="J140" s="64"/>
      <x:c r="K140" s="64"/>
      <x:c r="L140" s="96"/>
      <x:c r="M140" s="64"/>
      <x:c r="N140" s="65"/>
    </x:row>
    <x:row r="141">
      <x:c r="A141" s="63"/>
      <x:c r="B141" s="64"/>
      <x:c r="C141" s="64"/>
      <x:c r="D141" s="64"/>
      <x:c r="E141" s="64"/>
      <x:c r="F141" s="96"/>
      <x:c r="G141" s="64"/>
      <x:c r="H141" s="125"/>
      <x:c r="I141" s="64"/>
      <x:c r="J141" s="64"/>
      <x:c r="K141" s="64"/>
      <x:c r="L141" s="96"/>
      <x:c r="M141" s="64"/>
      <x:c r="N141" s="65"/>
    </x:row>
    <x:row r="142">
      <x:c r="A142" s="63"/>
      <x:c r="B142" s="64"/>
      <x:c r="C142" s="64"/>
      <x:c r="D142" s="64"/>
      <x:c r="E142" s="64"/>
      <x:c r="F142" s="96"/>
      <x:c r="G142" s="64"/>
      <x:c r="H142" s="125"/>
      <x:c r="I142" s="64"/>
      <x:c r="J142" s="64"/>
      <x:c r="K142" s="64"/>
      <x:c r="L142" s="96"/>
      <x:c r="M142" s="64"/>
      <x:c r="N142" s="65"/>
    </x:row>
    <x:row r="143">
      <x:c r="A143" s="63"/>
      <x:c r="B143" s="64"/>
      <x:c r="C143" s="64"/>
      <x:c r="D143" s="64"/>
      <x:c r="E143" s="64"/>
      <x:c r="F143" s="96"/>
      <x:c r="G143" s="64"/>
      <x:c r="H143" s="125"/>
      <x:c r="I143" s="64"/>
      <x:c r="J143" s="64"/>
      <x:c r="K143" s="64"/>
      <x:c r="L143" s="96"/>
      <x:c r="M143" s="64"/>
      <x:c r="N143" s="65"/>
    </x:row>
    <x:row r="144">
      <x:c r="A144" s="63"/>
      <x:c r="B144" s="64"/>
      <x:c r="C144" s="64"/>
      <x:c r="D144" s="64"/>
      <x:c r="E144" s="64"/>
      <x:c r="F144" s="96"/>
      <x:c r="G144" s="64"/>
      <x:c r="H144" s="125"/>
      <x:c r="I144" s="64"/>
      <x:c r="J144" s="64"/>
      <x:c r="K144" s="64"/>
      <x:c r="L144" s="96"/>
      <x:c r="M144" s="64"/>
      <x:c r="N144" s="65"/>
    </x:row>
    <x:row r="145">
      <x:c r="A145" s="63"/>
      <x:c r="B145" s="64"/>
      <x:c r="C145" s="64"/>
      <x:c r="D145" s="64"/>
      <x:c r="E145" s="64"/>
      <x:c r="F145" s="96"/>
      <x:c r="G145" s="64"/>
      <x:c r="H145" s="125"/>
      <x:c r="I145" s="64"/>
      <x:c r="J145" s="64"/>
      <x:c r="K145" s="64"/>
      <x:c r="L145" s="96"/>
      <x:c r="M145" s="64"/>
      <x:c r="N145" s="65"/>
    </x:row>
    <x:row r="146">
      <x:c r="A146" s="63"/>
      <x:c r="B146" s="64"/>
      <x:c r="C146" s="64"/>
      <x:c r="D146" s="64"/>
      <x:c r="E146" s="64"/>
      <x:c r="F146" s="96"/>
      <x:c r="G146" s="64"/>
      <x:c r="H146" s="125"/>
      <x:c r="I146" s="64"/>
      <x:c r="J146" s="64"/>
      <x:c r="K146" s="64"/>
      <x:c r="L146" s="96"/>
      <x:c r="M146" s="64"/>
      <x:c r="N146" s="65"/>
    </x:row>
    <x:row r="147">
      <x:c r="A147" s="63"/>
      <x:c r="B147" s="64"/>
      <x:c r="C147" s="64"/>
      <x:c r="D147" s="64"/>
      <x:c r="E147" s="64"/>
      <x:c r="F147" s="96"/>
      <x:c r="G147" s="64"/>
      <x:c r="H147" s="125"/>
      <x:c r="I147" s="64"/>
      <x:c r="J147" s="64"/>
      <x:c r="K147" s="64"/>
      <x:c r="L147" s="96"/>
      <x:c r="M147" s="64"/>
      <x:c r="N147" s="65"/>
    </x:row>
    <x:row r="148">
      <x:c r="A148" s="63"/>
      <x:c r="B148" s="64"/>
      <x:c r="C148" s="64"/>
      <x:c r="D148" s="64"/>
      <x:c r="E148" s="64"/>
      <x:c r="F148" s="96"/>
      <x:c r="G148" s="64"/>
      <x:c r="H148" s="125"/>
      <x:c r="I148" s="64"/>
      <x:c r="J148" s="64"/>
      <x:c r="K148" s="64"/>
      <x:c r="L148" s="96"/>
      <x:c r="M148" s="64"/>
      <x:c r="N148" s="65"/>
    </x:row>
    <x:row r="149">
      <x:c r="A149" s="63"/>
      <x:c r="B149" s="64"/>
      <x:c r="C149" s="64"/>
      <x:c r="D149" s="64"/>
      <x:c r="E149" s="64"/>
      <x:c r="F149" s="96"/>
      <x:c r="G149" s="64"/>
      <x:c r="H149" s="125"/>
      <x:c r="I149" s="64"/>
      <x:c r="J149" s="64"/>
      <x:c r="K149" s="64"/>
      <x:c r="L149" s="96"/>
      <x:c r="M149" s="64"/>
      <x:c r="N149" s="65"/>
    </x:row>
    <x:row r="150">
      <x:c r="A150" s="63"/>
      <x:c r="B150" s="64"/>
      <x:c r="C150" s="64"/>
      <x:c r="D150" s="64"/>
      <x:c r="E150" s="64"/>
      <x:c r="F150" s="96"/>
      <x:c r="G150" s="64"/>
      <x:c r="H150" s="125"/>
      <x:c r="I150" s="64"/>
      <x:c r="J150" s="64"/>
      <x:c r="K150" s="64"/>
      <x:c r="L150" s="96"/>
      <x:c r="M150" s="64"/>
      <x:c r="N150" s="65"/>
    </x:row>
    <x:row r="151">
      <x:c r="A151" s="63"/>
      <x:c r="B151" s="64"/>
      <x:c r="C151" s="64"/>
      <x:c r="D151" s="64"/>
      <x:c r="E151" s="64"/>
      <x:c r="F151" s="96"/>
      <x:c r="G151" s="64"/>
      <x:c r="H151" s="125"/>
      <x:c r="I151" s="64"/>
      <x:c r="J151" s="64"/>
      <x:c r="K151" s="64"/>
      <x:c r="L151" s="96"/>
      <x:c r="M151" s="64"/>
      <x:c r="N151" s="65"/>
    </x:row>
    <x:row r="152">
      <x:c r="A152" s="63"/>
      <x:c r="B152" s="64"/>
      <x:c r="C152" s="64"/>
      <x:c r="D152" s="64"/>
      <x:c r="E152" s="64"/>
      <x:c r="F152" s="96"/>
      <x:c r="G152" s="64"/>
      <x:c r="H152" s="125"/>
      <x:c r="I152" s="64"/>
      <x:c r="J152" s="64"/>
      <x:c r="K152" s="64"/>
      <x:c r="L152" s="96"/>
      <x:c r="M152" s="64"/>
      <x:c r="N152" s="65"/>
    </x:row>
    <x:row r="153">
      <x:c r="A153" s="63"/>
      <x:c r="B153" s="64"/>
      <x:c r="C153" s="64"/>
      <x:c r="D153" s="64"/>
      <x:c r="E153" s="64"/>
      <x:c r="F153" s="96"/>
      <x:c r="G153" s="64"/>
      <x:c r="H153" s="125"/>
      <x:c r="I153" s="64"/>
      <x:c r="J153" s="64"/>
      <x:c r="K153" s="64"/>
      <x:c r="L153" s="96"/>
      <x:c r="M153" s="64"/>
      <x:c r="N153" s="65"/>
    </x:row>
    <x:row r="154">
      <x:c r="A154" s="63"/>
      <x:c r="B154" s="64"/>
      <x:c r="C154" s="64"/>
      <x:c r="D154" s="64"/>
      <x:c r="E154" s="64"/>
      <x:c r="F154" s="96"/>
      <x:c r="G154" s="64"/>
      <x:c r="H154" s="125"/>
      <x:c r="I154" s="64"/>
      <x:c r="J154" s="64"/>
      <x:c r="K154" s="64"/>
      <x:c r="L154" s="96"/>
      <x:c r="M154" s="64"/>
      <x:c r="N154" s="65"/>
    </x:row>
    <x:row r="155">
      <x:c r="A155" s="63"/>
      <x:c r="B155" s="64"/>
      <x:c r="C155" s="64"/>
      <x:c r="D155" s="64"/>
      <x:c r="E155" s="64"/>
      <x:c r="F155" s="96"/>
      <x:c r="G155" s="64"/>
      <x:c r="H155" s="125"/>
      <x:c r="I155" s="64"/>
      <x:c r="J155" s="64"/>
      <x:c r="K155" s="64"/>
      <x:c r="L155" s="96"/>
      <x:c r="M155" s="64"/>
      <x:c r="N155" s="65"/>
    </x:row>
    <x:row r="156">
      <x:c r="A156" s="63"/>
      <x:c r="B156" s="64"/>
      <x:c r="C156" s="64"/>
      <x:c r="D156" s="64"/>
      <x:c r="E156" s="64"/>
      <x:c r="F156" s="96"/>
      <x:c r="G156" s="64"/>
      <x:c r="H156" s="125"/>
      <x:c r="I156" s="64"/>
      <x:c r="J156" s="64"/>
      <x:c r="K156" s="64"/>
      <x:c r="L156" s="96"/>
      <x:c r="M156" s="64"/>
      <x:c r="N156" s="65"/>
    </x:row>
    <x:row r="157">
      <x:c r="A157" s="63"/>
      <x:c r="B157" s="64"/>
      <x:c r="C157" s="64"/>
      <x:c r="D157" s="64"/>
      <x:c r="E157" s="64"/>
      <x:c r="F157" s="96"/>
      <x:c r="G157" s="64"/>
      <x:c r="H157" s="125"/>
      <x:c r="I157" s="64"/>
      <x:c r="J157" s="64"/>
      <x:c r="K157" s="64"/>
      <x:c r="L157" s="96"/>
      <x:c r="M157" s="64"/>
      <x:c r="N157" s="65"/>
    </x:row>
    <x:row r="158">
      <x:c r="A158" s="63"/>
      <x:c r="B158" s="64"/>
      <x:c r="C158" s="64"/>
      <x:c r="D158" s="64"/>
      <x:c r="E158" s="64"/>
      <x:c r="F158" s="96"/>
      <x:c r="G158" s="64"/>
      <x:c r="H158" s="125"/>
      <x:c r="I158" s="64"/>
      <x:c r="J158" s="64"/>
      <x:c r="K158" s="64"/>
      <x:c r="L158" s="96"/>
      <x:c r="M158" s="64"/>
      <x:c r="N158" s="65"/>
    </x:row>
    <x:row r="159">
      <x:c r="A159" s="63"/>
      <x:c r="B159" s="64"/>
      <x:c r="C159" s="64"/>
      <x:c r="D159" s="64"/>
      <x:c r="E159" s="64"/>
      <x:c r="F159" s="96"/>
      <x:c r="G159" s="64"/>
      <x:c r="H159" s="125"/>
      <x:c r="I159" s="64"/>
      <x:c r="J159" s="64"/>
      <x:c r="K159" s="64"/>
      <x:c r="L159" s="96"/>
      <x:c r="M159" s="64"/>
      <x:c r="N159" s="65"/>
    </x:row>
    <x:row r="160">
      <x:c r="A160" s="63"/>
      <x:c r="B160" s="64"/>
      <x:c r="C160" s="64"/>
      <x:c r="D160" s="64"/>
      <x:c r="E160" s="64"/>
      <x:c r="F160" s="96"/>
      <x:c r="G160" s="64"/>
      <x:c r="H160" s="125"/>
      <x:c r="I160" s="64"/>
      <x:c r="J160" s="64"/>
      <x:c r="K160" s="64"/>
      <x:c r="L160" s="96"/>
      <x:c r="M160" s="64"/>
      <x:c r="N160" s="65"/>
    </x:row>
    <x:row r="161">
      <x:c r="A161" s="63"/>
      <x:c r="B161" s="64"/>
      <x:c r="C161" s="64"/>
      <x:c r="D161" s="64"/>
      <x:c r="E161" s="64"/>
      <x:c r="F161" s="96"/>
      <x:c r="G161" s="64"/>
      <x:c r="H161" s="125"/>
      <x:c r="I161" s="64"/>
      <x:c r="J161" s="64"/>
      <x:c r="K161" s="64"/>
      <x:c r="L161" s="96"/>
      <x:c r="M161" s="64"/>
      <x:c r="N161" s="65"/>
    </x:row>
    <x:row r="162">
      <x:c r="A162" s="63"/>
      <x:c r="B162" s="64"/>
      <x:c r="C162" s="64"/>
      <x:c r="D162" s="64"/>
      <x:c r="E162" s="64"/>
      <x:c r="F162" s="96"/>
      <x:c r="G162" s="64"/>
      <x:c r="H162" s="125"/>
      <x:c r="I162" s="64"/>
      <x:c r="J162" s="64"/>
      <x:c r="K162" s="64"/>
      <x:c r="L162" s="96"/>
      <x:c r="M162" s="64"/>
      <x:c r="N162" s="65"/>
    </x:row>
    <x:row r="163">
      <x:c r="A163" s="63"/>
      <x:c r="B163" s="64"/>
      <x:c r="C163" s="64"/>
      <x:c r="D163" s="64"/>
      <x:c r="E163" s="64"/>
      <x:c r="F163" s="96"/>
      <x:c r="G163" s="64"/>
      <x:c r="H163" s="125"/>
      <x:c r="I163" s="64"/>
      <x:c r="J163" s="64"/>
      <x:c r="K163" s="64"/>
      <x:c r="L163" s="96"/>
      <x:c r="M163" s="64"/>
      <x:c r="N163" s="65"/>
    </x:row>
    <x:row r="164">
      <x:c r="A164" s="63"/>
      <x:c r="B164" s="64"/>
      <x:c r="C164" s="64"/>
      <x:c r="D164" s="64"/>
      <x:c r="E164" s="64"/>
      <x:c r="F164" s="96"/>
      <x:c r="G164" s="64"/>
      <x:c r="H164" s="125"/>
      <x:c r="I164" s="64"/>
      <x:c r="J164" s="64"/>
      <x:c r="K164" s="64"/>
      <x:c r="L164" s="96"/>
      <x:c r="M164" s="64"/>
      <x:c r="N164" s="65"/>
    </x:row>
    <x:row r="165">
      <x:c r="A165" s="63"/>
      <x:c r="B165" s="64"/>
      <x:c r="C165" s="64"/>
      <x:c r="D165" s="64"/>
      <x:c r="E165" s="64"/>
      <x:c r="F165" s="96"/>
      <x:c r="G165" s="64"/>
      <x:c r="H165" s="125"/>
      <x:c r="I165" s="64"/>
      <x:c r="J165" s="64"/>
      <x:c r="K165" s="64"/>
      <x:c r="L165" s="96"/>
      <x:c r="M165" s="64"/>
      <x:c r="N165" s="65"/>
    </x:row>
    <x:row r="166">
      <x:c r="A166" s="63"/>
      <x:c r="B166" s="64"/>
      <x:c r="C166" s="64"/>
      <x:c r="D166" s="64"/>
      <x:c r="E166" s="64"/>
      <x:c r="F166" s="96"/>
      <x:c r="G166" s="64"/>
      <x:c r="H166" s="125"/>
      <x:c r="I166" s="64"/>
      <x:c r="J166" s="64"/>
      <x:c r="K166" s="64"/>
      <x:c r="L166" s="96"/>
      <x:c r="M166" s="64"/>
      <x:c r="N166" s="65"/>
    </x:row>
    <x:row r="167">
      <x:c r="A167" s="63"/>
      <x:c r="B167" s="64"/>
      <x:c r="C167" s="64"/>
      <x:c r="D167" s="64"/>
      <x:c r="E167" s="64"/>
      <x:c r="F167" s="96"/>
      <x:c r="G167" s="64"/>
      <x:c r="H167" s="125"/>
      <x:c r="I167" s="64"/>
      <x:c r="J167" s="64"/>
      <x:c r="K167" s="64"/>
      <x:c r="L167" s="96"/>
      <x:c r="M167" s="64"/>
      <x:c r="N167" s="65"/>
    </x:row>
    <x:row r="168">
      <x:c r="A168" s="63"/>
      <x:c r="B168" s="64"/>
      <x:c r="C168" s="64"/>
      <x:c r="D168" s="64"/>
      <x:c r="E168" s="64"/>
      <x:c r="F168" s="96"/>
      <x:c r="G168" s="64"/>
      <x:c r="H168" s="125"/>
      <x:c r="I168" s="64"/>
      <x:c r="J168" s="64"/>
      <x:c r="K168" s="64"/>
      <x:c r="L168" s="96"/>
      <x:c r="M168" s="64"/>
      <x:c r="N168" s="65"/>
    </x:row>
    <x:row r="169">
      <x:c r="A169" s="63"/>
      <x:c r="B169" s="64"/>
      <x:c r="C169" s="64"/>
      <x:c r="D169" s="64"/>
      <x:c r="E169" s="64"/>
      <x:c r="F169" s="96"/>
      <x:c r="G169" s="64"/>
      <x:c r="H169" s="125"/>
      <x:c r="I169" s="64"/>
      <x:c r="J169" s="64"/>
      <x:c r="K169" s="64"/>
      <x:c r="L169" s="96"/>
      <x:c r="M169" s="64"/>
      <x:c r="N169" s="65"/>
    </x:row>
    <x:row r="170">
      <x:c r="A170" s="63"/>
      <x:c r="B170" s="64"/>
      <x:c r="C170" s="64"/>
      <x:c r="D170" s="64"/>
      <x:c r="E170" s="64"/>
      <x:c r="F170" s="96"/>
      <x:c r="G170" s="64"/>
      <x:c r="H170" s="125"/>
      <x:c r="I170" s="64"/>
      <x:c r="J170" s="64"/>
      <x:c r="K170" s="64"/>
      <x:c r="L170" s="96"/>
      <x:c r="M170" s="64"/>
      <x:c r="N170" s="65"/>
    </x:row>
    <x:row r="171">
      <x:c r="A171" s="63"/>
      <x:c r="B171" s="64"/>
      <x:c r="C171" s="64"/>
      <x:c r="D171" s="64"/>
      <x:c r="E171" s="64"/>
      <x:c r="F171" s="96"/>
      <x:c r="G171" s="64"/>
      <x:c r="H171" s="125"/>
      <x:c r="I171" s="64"/>
      <x:c r="J171" s="64"/>
      <x:c r="K171" s="64"/>
      <x:c r="L171" s="96"/>
      <x:c r="M171" s="64"/>
      <x:c r="N171" s="65"/>
    </x:row>
    <x:row r="172">
      <x:c r="A172" s="63"/>
      <x:c r="B172" s="64"/>
      <x:c r="C172" s="64"/>
      <x:c r="D172" s="64"/>
      <x:c r="E172" s="64"/>
      <x:c r="F172" s="96"/>
      <x:c r="G172" s="64"/>
      <x:c r="H172" s="125"/>
      <x:c r="I172" s="64"/>
      <x:c r="J172" s="64"/>
      <x:c r="K172" s="64"/>
      <x:c r="L172" s="96"/>
      <x:c r="M172" s="64"/>
      <x:c r="N172" s="65"/>
    </x:row>
    <x:row r="173">
      <x:c r="A173" s="63"/>
      <x:c r="B173" s="64"/>
      <x:c r="C173" s="64"/>
      <x:c r="D173" s="64"/>
      <x:c r="E173" s="64"/>
      <x:c r="F173" s="96"/>
      <x:c r="G173" s="64"/>
      <x:c r="H173" s="125"/>
      <x:c r="I173" s="64"/>
      <x:c r="J173" s="64"/>
      <x:c r="K173" s="64"/>
      <x:c r="L173" s="96"/>
      <x:c r="M173" s="64"/>
      <x:c r="N173" s="65"/>
    </x:row>
    <x:row r="174">
      <x:c r="A174" s="63"/>
      <x:c r="B174" s="64"/>
      <x:c r="C174" s="64"/>
      <x:c r="D174" s="64"/>
      <x:c r="E174" s="64"/>
      <x:c r="F174" s="96"/>
      <x:c r="G174" s="64"/>
      <x:c r="H174" s="125"/>
      <x:c r="I174" s="64"/>
      <x:c r="J174" s="64"/>
      <x:c r="K174" s="64"/>
      <x:c r="L174" s="96"/>
      <x:c r="M174" s="64"/>
      <x:c r="N174" s="65"/>
    </x:row>
    <x:row r="175">
      <x:c r="A175" s="63"/>
      <x:c r="B175" s="64"/>
      <x:c r="C175" s="64"/>
      <x:c r="D175" s="64"/>
      <x:c r="E175" s="64"/>
      <x:c r="F175" s="96"/>
      <x:c r="G175" s="64"/>
      <x:c r="H175" s="125"/>
      <x:c r="I175" s="64"/>
      <x:c r="J175" s="64"/>
      <x:c r="K175" s="64"/>
      <x:c r="L175" s="96"/>
      <x:c r="M175" s="64"/>
      <x:c r="N175" s="65"/>
    </x:row>
    <x:row r="176">
      <x:c r="A176" s="63"/>
      <x:c r="B176" s="64"/>
      <x:c r="C176" s="64"/>
      <x:c r="D176" s="64"/>
      <x:c r="E176" s="64"/>
      <x:c r="F176" s="96"/>
      <x:c r="G176" s="64"/>
      <x:c r="H176" s="125"/>
      <x:c r="I176" s="64"/>
      <x:c r="J176" s="64"/>
      <x:c r="K176" s="64"/>
      <x:c r="L176" s="96"/>
      <x:c r="M176" s="64"/>
      <x:c r="N176" s="65"/>
    </x:row>
    <x:row r="177">
      <x:c r="A177" s="63"/>
      <x:c r="B177" s="64"/>
      <x:c r="C177" s="64"/>
      <x:c r="D177" s="64"/>
      <x:c r="E177" s="64"/>
      <x:c r="F177" s="96"/>
      <x:c r="G177" s="64"/>
      <x:c r="H177" s="125"/>
      <x:c r="I177" s="64"/>
      <x:c r="J177" s="64"/>
      <x:c r="K177" s="64"/>
      <x:c r="L177" s="96"/>
      <x:c r="M177" s="64"/>
      <x:c r="N177" s="65"/>
    </x:row>
    <x:row r="178">
      <x:c r="A178" s="63"/>
      <x:c r="B178" s="64"/>
      <x:c r="C178" s="64"/>
      <x:c r="D178" s="64"/>
      <x:c r="E178" s="64"/>
      <x:c r="F178" s="96"/>
      <x:c r="G178" s="64"/>
      <x:c r="H178" s="125"/>
      <x:c r="I178" s="64"/>
      <x:c r="J178" s="64"/>
      <x:c r="K178" s="64"/>
      <x:c r="L178" s="96"/>
      <x:c r="M178" s="64"/>
      <x:c r="N178" s="65"/>
    </x:row>
    <x:row r="179">
      <x:c r="A179" s="63"/>
      <x:c r="B179" s="64"/>
      <x:c r="C179" s="64"/>
      <x:c r="D179" s="64"/>
      <x:c r="E179" s="64"/>
      <x:c r="F179" s="96"/>
      <x:c r="G179" s="64"/>
      <x:c r="H179" s="125"/>
      <x:c r="I179" s="64"/>
      <x:c r="J179" s="64"/>
      <x:c r="K179" s="64"/>
      <x:c r="L179" s="96"/>
      <x:c r="M179" s="64"/>
      <x:c r="N179" s="65"/>
    </x:row>
    <x:row r="180">
      <x:c r="A180" s="63"/>
      <x:c r="B180" s="64"/>
      <x:c r="C180" s="64"/>
      <x:c r="D180" s="64"/>
      <x:c r="E180" s="64"/>
      <x:c r="F180" s="96"/>
      <x:c r="G180" s="64"/>
      <x:c r="H180" s="125"/>
      <x:c r="I180" s="64"/>
      <x:c r="J180" s="64"/>
      <x:c r="K180" s="64"/>
      <x:c r="L180" s="96"/>
      <x:c r="M180" s="64"/>
      <x:c r="N180" s="65"/>
    </x:row>
    <x:row r="181">
      <x:c r="A181" s="63"/>
      <x:c r="B181" s="64"/>
      <x:c r="C181" s="64"/>
      <x:c r="D181" s="64"/>
      <x:c r="E181" s="64"/>
      <x:c r="F181" s="96"/>
      <x:c r="G181" s="64"/>
      <x:c r="H181" s="125"/>
      <x:c r="I181" s="64"/>
      <x:c r="J181" s="64"/>
      <x:c r="K181" s="64"/>
      <x:c r="L181" s="96"/>
      <x:c r="M181" s="64"/>
      <x:c r="N181" s="65"/>
    </x:row>
    <x:row r="182">
      <x:c r="A182" s="63"/>
      <x:c r="B182" s="64"/>
      <x:c r="C182" s="64"/>
      <x:c r="D182" s="64"/>
      <x:c r="E182" s="64"/>
      <x:c r="F182" s="96"/>
      <x:c r="G182" s="64"/>
      <x:c r="H182" s="125"/>
      <x:c r="I182" s="64"/>
      <x:c r="J182" s="64"/>
      <x:c r="K182" s="64"/>
      <x:c r="L182" s="96"/>
      <x:c r="M182" s="64"/>
      <x:c r="N182" s="65"/>
    </x:row>
    <x:row r="183">
      <x:c r="A183" s="63"/>
      <x:c r="B183" s="64"/>
      <x:c r="C183" s="64"/>
      <x:c r="D183" s="64"/>
      <x:c r="E183" s="64"/>
      <x:c r="F183" s="96"/>
      <x:c r="G183" s="64"/>
      <x:c r="H183" s="125"/>
      <x:c r="I183" s="64"/>
      <x:c r="J183" s="64"/>
      <x:c r="K183" s="64"/>
      <x:c r="L183" s="96"/>
      <x:c r="M183" s="64"/>
      <x:c r="N183" s="65"/>
    </x:row>
    <x:row r="184">
      <x:c r="A184" s="63"/>
      <x:c r="B184" s="64"/>
      <x:c r="C184" s="64"/>
      <x:c r="D184" s="64"/>
      <x:c r="E184" s="64"/>
      <x:c r="F184" s="96"/>
      <x:c r="G184" s="64"/>
      <x:c r="H184" s="125"/>
      <x:c r="I184" s="64"/>
      <x:c r="J184" s="64"/>
      <x:c r="K184" s="64"/>
      <x:c r="L184" s="96"/>
      <x:c r="M184" s="64"/>
      <x:c r="N184" s="65"/>
    </x:row>
    <x:row r="185">
      <x:c r="A185" s="63"/>
      <x:c r="B185" s="64"/>
      <x:c r="C185" s="64"/>
      <x:c r="D185" s="64"/>
      <x:c r="E185" s="64"/>
      <x:c r="F185" s="96"/>
      <x:c r="G185" s="64"/>
      <x:c r="H185" s="125"/>
      <x:c r="I185" s="64"/>
      <x:c r="J185" s="64"/>
      <x:c r="K185" s="64"/>
      <x:c r="L185" s="96"/>
      <x:c r="M185" s="64"/>
      <x:c r="N185" s="65"/>
    </x:row>
    <x:row r="186">
      <x:c r="A186" s="63"/>
      <x:c r="B186" s="64"/>
      <x:c r="C186" s="64"/>
      <x:c r="D186" s="64"/>
      <x:c r="E186" s="64"/>
      <x:c r="F186" s="96"/>
      <x:c r="G186" s="64"/>
      <x:c r="H186" s="125"/>
      <x:c r="I186" s="64"/>
      <x:c r="J186" s="64"/>
      <x:c r="K186" s="64"/>
      <x:c r="L186" s="96"/>
      <x:c r="M186" s="64"/>
      <x:c r="N186" s="65"/>
    </x:row>
    <x:row r="187">
      <x:c r="A187" s="63"/>
      <x:c r="B187" s="64"/>
      <x:c r="C187" s="64"/>
      <x:c r="D187" s="64"/>
      <x:c r="E187" s="64"/>
      <x:c r="F187" s="96"/>
      <x:c r="G187" s="64"/>
      <x:c r="H187" s="125"/>
      <x:c r="I187" s="64"/>
      <x:c r="J187" s="64"/>
      <x:c r="K187" s="64"/>
      <x:c r="L187" s="96"/>
      <x:c r="M187" s="64"/>
      <x:c r="N187" s="65"/>
    </x:row>
    <x:row r="188">
      <x:c r="A188" s="63"/>
      <x:c r="B188" s="64"/>
      <x:c r="C188" s="64"/>
      <x:c r="D188" s="64"/>
      <x:c r="E188" s="64"/>
      <x:c r="F188" s="96"/>
      <x:c r="G188" s="64"/>
      <x:c r="H188" s="125"/>
      <x:c r="I188" s="64"/>
      <x:c r="J188" s="64"/>
      <x:c r="K188" s="64"/>
      <x:c r="L188" s="96"/>
      <x:c r="M188" s="64"/>
      <x:c r="N188" s="65"/>
    </x:row>
    <x:row r="189">
      <x:c r="A189" s="63"/>
      <x:c r="B189" s="64"/>
      <x:c r="C189" s="64"/>
      <x:c r="D189" s="64"/>
      <x:c r="E189" s="64"/>
      <x:c r="F189" s="96"/>
      <x:c r="G189" s="64"/>
      <x:c r="H189" s="125"/>
      <x:c r="I189" s="64"/>
      <x:c r="J189" s="64"/>
      <x:c r="K189" s="64"/>
      <x:c r="L189" s="96"/>
      <x:c r="M189" s="64"/>
      <x:c r="N189" s="65"/>
    </x:row>
    <x:row r="190">
      <x:c r="A190" s="63"/>
      <x:c r="B190" s="64"/>
      <x:c r="C190" s="64"/>
      <x:c r="D190" s="64"/>
      <x:c r="E190" s="64"/>
      <x:c r="F190" s="96"/>
      <x:c r="G190" s="64"/>
      <x:c r="H190" s="125"/>
      <x:c r="I190" s="64"/>
      <x:c r="J190" s="64"/>
      <x:c r="K190" s="64"/>
      <x:c r="L190" s="96"/>
      <x:c r="M190" s="64"/>
      <x:c r="N190" s="65"/>
    </x:row>
    <x:row r="191">
      <x:c r="A191" s="63"/>
      <x:c r="B191" s="64"/>
      <x:c r="C191" s="64"/>
      <x:c r="D191" s="64"/>
      <x:c r="E191" s="64"/>
      <x:c r="F191" s="96"/>
      <x:c r="G191" s="64"/>
      <x:c r="H191" s="125"/>
      <x:c r="I191" s="64"/>
      <x:c r="J191" s="64"/>
      <x:c r="K191" s="64"/>
      <x:c r="L191" s="96"/>
      <x:c r="M191" s="64"/>
      <x:c r="N191" s="65"/>
    </x:row>
    <x:row r="192">
      <x:c r="A192" s="63"/>
      <x:c r="B192" s="64"/>
      <x:c r="C192" s="64"/>
      <x:c r="D192" s="64"/>
      <x:c r="E192" s="64"/>
      <x:c r="F192" s="96"/>
      <x:c r="G192" s="64"/>
      <x:c r="H192" s="125"/>
      <x:c r="I192" s="64"/>
      <x:c r="J192" s="64"/>
      <x:c r="K192" s="64"/>
      <x:c r="L192" s="96"/>
      <x:c r="M192" s="64"/>
      <x:c r="N192" s="65"/>
    </x:row>
    <x:row r="193">
      <x:c r="A193" s="63"/>
      <x:c r="B193" s="64"/>
      <x:c r="C193" s="64"/>
      <x:c r="D193" s="64"/>
      <x:c r="E193" s="64"/>
      <x:c r="F193" s="96"/>
      <x:c r="G193" s="64"/>
      <x:c r="H193" s="125"/>
      <x:c r="I193" s="64"/>
      <x:c r="J193" s="64"/>
      <x:c r="K193" s="64"/>
      <x:c r="L193" s="96"/>
      <x:c r="M193" s="64"/>
      <x:c r="N193" s="65"/>
    </x:row>
    <x:row r="194">
      <x:c r="A194" s="63"/>
      <x:c r="B194" s="64"/>
      <x:c r="C194" s="64"/>
      <x:c r="D194" s="64"/>
      <x:c r="E194" s="64"/>
      <x:c r="F194" s="96"/>
      <x:c r="G194" s="64"/>
      <x:c r="H194" s="125"/>
      <x:c r="I194" s="64"/>
      <x:c r="J194" s="64"/>
      <x:c r="K194" s="64"/>
      <x:c r="L194" s="96"/>
      <x:c r="M194" s="64"/>
      <x:c r="N194" s="65"/>
    </x:row>
    <x:row r="195">
      <x:c r="A195" s="63"/>
      <x:c r="B195" s="64"/>
      <x:c r="C195" s="64"/>
      <x:c r="D195" s="64"/>
      <x:c r="E195" s="64"/>
      <x:c r="F195" s="96"/>
      <x:c r="G195" s="64"/>
      <x:c r="H195" s="125"/>
      <x:c r="I195" s="64"/>
      <x:c r="J195" s="64"/>
      <x:c r="K195" s="64"/>
      <x:c r="L195" s="96"/>
      <x:c r="M195" s="64"/>
      <x:c r="N195" s="65"/>
    </x:row>
    <x:row r="196">
      <x:c r="A196" s="63"/>
      <x:c r="B196" s="64"/>
      <x:c r="C196" s="64"/>
      <x:c r="D196" s="64"/>
      <x:c r="E196" s="64"/>
      <x:c r="F196" s="96"/>
      <x:c r="G196" s="64"/>
      <x:c r="H196" s="125"/>
      <x:c r="I196" s="64"/>
      <x:c r="J196" s="64"/>
      <x:c r="K196" s="64"/>
      <x:c r="L196" s="96"/>
      <x:c r="M196" s="64"/>
      <x:c r="N196" s="65"/>
    </x:row>
    <x:row r="197">
      <x:c r="A197" s="63"/>
      <x:c r="B197" s="64"/>
      <x:c r="C197" s="64"/>
      <x:c r="D197" s="64"/>
      <x:c r="E197" s="64"/>
      <x:c r="F197" s="96"/>
      <x:c r="G197" s="64"/>
      <x:c r="H197" s="125"/>
      <x:c r="I197" s="64"/>
      <x:c r="J197" s="64"/>
      <x:c r="K197" s="64"/>
      <x:c r="L197" s="96"/>
      <x:c r="M197" s="64"/>
      <x:c r="N197" s="65"/>
    </x:row>
    <x:row r="198">
      <x:c r="A198" s="63"/>
      <x:c r="B198" s="64"/>
      <x:c r="C198" s="64"/>
      <x:c r="D198" s="64"/>
      <x:c r="E198" s="64"/>
      <x:c r="F198" s="96"/>
      <x:c r="G198" s="64"/>
      <x:c r="H198" s="125"/>
      <x:c r="I198" s="64"/>
      <x:c r="J198" s="64"/>
      <x:c r="K198" s="64"/>
      <x:c r="L198" s="96"/>
      <x:c r="M198" s="64"/>
      <x:c r="N198" s="65"/>
    </x:row>
    <x:row r="199">
      <x:c r="A199" s="63"/>
      <x:c r="B199" s="64"/>
      <x:c r="C199" s="64"/>
      <x:c r="D199" s="64"/>
      <x:c r="E199" s="64"/>
      <x:c r="F199" s="96"/>
      <x:c r="G199" s="64"/>
      <x:c r="H199" s="125"/>
      <x:c r="I199" s="64"/>
      <x:c r="J199" s="64"/>
      <x:c r="K199" s="64"/>
      <x:c r="L199" s="96"/>
      <x:c r="M199" s="64"/>
      <x:c r="N199" s="65"/>
    </x:row>
    <x:row r="200">
      <x:c r="A200" s="63"/>
      <x:c r="B200" s="64"/>
      <x:c r="C200" s="64"/>
      <x:c r="D200" s="64"/>
      <x:c r="E200" s="64"/>
      <x:c r="F200" s="96"/>
      <x:c r="G200" s="64"/>
      <x:c r="H200" s="125"/>
      <x:c r="I200" s="64"/>
      <x:c r="J200" s="64"/>
      <x:c r="K200" s="64"/>
      <x:c r="L200" s="96"/>
      <x:c r="M200" s="64"/>
      <x:c r="N200" s="65"/>
    </x:row>
    <x:row r="201">
      <x:c r="A201" s="63"/>
      <x:c r="B201" s="64"/>
      <x:c r="C201" s="64"/>
      <x:c r="D201" s="64"/>
      <x:c r="E201" s="64"/>
      <x:c r="F201" s="96"/>
      <x:c r="G201" s="64"/>
      <x:c r="H201" s="125"/>
      <x:c r="I201" s="64"/>
      <x:c r="J201" s="64"/>
      <x:c r="K201" s="64"/>
      <x:c r="L201" s="96"/>
      <x:c r="M201" s="64"/>
      <x:c r="N201" s="65"/>
    </x:row>
    <x:row r="202">
      <x:c r="A202" s="63"/>
      <x:c r="B202" s="64"/>
      <x:c r="C202" s="64"/>
      <x:c r="D202" s="64"/>
      <x:c r="E202" s="64"/>
      <x:c r="F202" s="96"/>
      <x:c r="G202" s="64"/>
      <x:c r="H202" s="125"/>
      <x:c r="I202" s="64"/>
      <x:c r="J202" s="64"/>
      <x:c r="K202" s="64"/>
      <x:c r="L202" s="96"/>
      <x:c r="M202" s="64"/>
      <x:c r="N202" s="65"/>
    </x:row>
    <x:row r="203">
      <x:c r="A203" s="66"/>
      <x:c r="B203" s="67"/>
      <x:c r="C203" s="67"/>
      <x:c r="D203" s="67"/>
      <x:c r="E203" s="67"/>
      <x:c r="F203" s="97"/>
      <x:c r="G203" s="67"/>
      <x:c r="H203" s="126"/>
      <x:c r="I203" s="67"/>
      <x:c r="J203" s="67"/>
      <x:c r="K203" s="67"/>
      <x:c r="L203" s="97"/>
      <x:c r="M203" s="67"/>
      <x:c r="N203" s="68"/>
    </x:row>
  </x:sheetData>
  <x:mergeCells>
    <x:mergeCell ref="A1:N1"/>
  </x:mergeCells>
  <x:conditionalFormatting sqref="G4:G203">
    <x:cfRule type="expression" dxfId="60" priority="1">
      <x:formula>G4="Offer"</x:formula>
    </x:cfRule>
    <x:cfRule type="expression" dxfId="61" priority="2">
      <x:formula>G4="Rejected"</x:formula>
    </x:cfRule>
    <x:cfRule type="expression" dxfId="62" priority="3">
      <x:formula>OR(G4="HR Screen",G4="Technical",G4="Final")</x:formula>
    </x:cfRule>
  </x:conditionalFormatting>
  <x:dataValidations count="2">
    <x:dataValidation type="list" sqref="G4:G203">
      <x:formula1>"To Apply,Applied,HR Screen,Technical,Final,Offer,Rejected,Withdrawn"</x:formula1>
    </x:dataValidation>
    <x:dataValidation type="list" sqref="N4:N203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d7e762c628414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6" hidden="0" customWidth="1"/>
    <x:col min="4" max="4" width="15" hidden="0" customWidth="1"/>
    <x:col min="5" max="5" width="38" hidden="0" customWidth="1"/>
    <x:col min="6" max="6" width="38" hidden="0" customWidth="1"/>
    <x:col min="7" max="7" width="12" hidden="0" customWidth="1"/>
    <x:col min="8" max="8" width="13" hidden="0" customWidth="1"/>
    <x:col min="9" max="9" width="30" hidden="0" customWidth="1"/>
    <x:col min="10" max="10" width="30" hidden="0" customWidth="1"/>
    <x:col min="11" max="11" width="34" hidden="0" customWidth="1"/>
    <x:col min="12" max="12" width="14" hidden="0" customWidth="1"/>
    <x:col min="13" max="13" width="30" hidden="0" customWidth="1"/>
  </x:cols>
  <x:sheetData>
    <x:row r="1">
      <x:c r="A1" s="135" t="str">
        <x:v>INTERVIEW LEARNINGS</x:v>
      </x:c>
      <x:c r="B1" s="135"/>
      <x:c r="C1" s="135"/>
      <x:c r="D1" s="135"/>
      <x:c r="E1" s="135"/>
      <x:c r="F1" s="135"/>
      <x:c r="G1" s="135"/>
      <x:c r="H1" s="135"/>
      <x:c r="I1" s="135"/>
      <x:c r="J1" s="135"/>
      <x:c r="K1" s="135"/>
      <x:c r="L1" s="135"/>
      <x:c r="M1" s="135"/>
    </x:row>
    <x:row r="3">
      <x:c r="A3" s="26" t="str">
        <x:v>Date</x:v>
      </x:c>
      <x:c r="B3" s="27" t="str">
        <x:v>Company</x:v>
      </x:c>
      <x:c r="C3" s="27" t="str">
        <x:v>Role</x:v>
      </x:c>
      <x:c r="D3" s="27" t="str">
        <x:v>Stage</x:v>
      </x:c>
      <x:c r="E3" s="27" t="str">
        <x:v>Question / Task</x:v>
      </x:c>
      <x:c r="F3" s="27" t="str">
        <x:v>My Answer</x:v>
      </x:c>
      <x:c r="G3" s="27" t="str">
        <x:v>Result</x:v>
      </x:c>
      <x:c r="H3" s="27" t="str">
        <x:v>Confidence 1-5</x:v>
      </x:c>
      <x:c r="I3" s="27" t="str">
        <x:v>What Went Well</x:v>
      </x:c>
      <x:c r="J3" s="27" t="str">
        <x:v>What to Improve</x:v>
      </x:c>
      <x:c r="K3" s="27" t="str">
        <x:v>New Tracker Task</x:v>
      </x:c>
      <x:c r="L3" s="27" t="str">
        <x:v>Follow-up Date</x:v>
      </x:c>
      <x:c r="M3" s="28" t="str">
        <x:v>Notes</x:v>
      </x:c>
    </x:row>
    <x:row r="4">
      <x:c r="A4" s="149"/>
      <x:c r="B4" s="61"/>
      <x:c r="C4" s="61"/>
      <x:c r="D4" s="61"/>
      <x:c r="E4" s="61"/>
      <x:c r="F4" s="61"/>
      <x:c r="G4" s="61"/>
      <x:c r="H4" s="61"/>
      <x:c r="I4" s="61"/>
      <x:c r="J4" s="61"/>
      <x:c r="K4" s="61"/>
      <x:c r="L4" s="95"/>
      <x:c r="M4" s="62"/>
    </x:row>
    <x:row r="5">
      <x:c r="A5" s="150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96"/>
      <x:c r="M5" s="65"/>
    </x:row>
    <x:row r="6">
      <x:c r="A6" s="150"/>
      <x:c r="B6" s="64"/>
      <x:c r="C6" s="64"/>
      <x:c r="D6" s="64"/>
      <x:c r="E6" s="64"/>
      <x:c r="F6" s="64"/>
      <x:c r="G6" s="64"/>
      <x:c r="H6" s="64"/>
      <x:c r="I6" s="64"/>
      <x:c r="J6" s="64"/>
      <x:c r="K6" s="64"/>
      <x:c r="L6" s="96"/>
      <x:c r="M6" s="65"/>
    </x:row>
    <x:row r="7">
      <x:c r="A7" s="150"/>
      <x:c r="B7" s="64"/>
      <x:c r="C7" s="64"/>
      <x:c r="D7" s="64"/>
      <x:c r="E7" s="64"/>
      <x:c r="F7" s="64"/>
      <x:c r="G7" s="64"/>
      <x:c r="H7" s="64"/>
      <x:c r="I7" s="64"/>
      <x:c r="J7" s="64"/>
      <x:c r="K7" s="64"/>
      <x:c r="L7" s="96"/>
      <x:c r="M7" s="65"/>
    </x:row>
    <x:row r="8">
      <x:c r="A8" s="150"/>
      <x:c r="B8" s="64"/>
      <x:c r="C8" s="64"/>
      <x:c r="D8" s="64"/>
      <x:c r="E8" s="64"/>
      <x:c r="F8" s="64"/>
      <x:c r="G8" s="64"/>
      <x:c r="H8" s="64"/>
      <x:c r="I8" s="64"/>
      <x:c r="J8" s="64"/>
      <x:c r="K8" s="64"/>
      <x:c r="L8" s="96"/>
      <x:c r="M8" s="65"/>
    </x:row>
    <x:row r="9">
      <x:c r="A9" s="150"/>
      <x:c r="B9" s="64"/>
      <x:c r="C9" s="64"/>
      <x:c r="D9" s="64"/>
      <x:c r="E9" s="64"/>
      <x:c r="F9" s="64"/>
      <x:c r="G9" s="64"/>
      <x:c r="H9" s="64"/>
      <x:c r="I9" s="64"/>
      <x:c r="J9" s="64"/>
      <x:c r="K9" s="64"/>
      <x:c r="L9" s="96"/>
      <x:c r="M9" s="65"/>
    </x:row>
    <x:row r="10">
      <x:c r="A10" s="150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96"/>
      <x:c r="M10" s="65"/>
    </x:row>
    <x:row r="11">
      <x:c r="A11" s="150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96"/>
      <x:c r="M11" s="65"/>
    </x:row>
    <x:row r="12">
      <x:c r="A12" s="150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96"/>
      <x:c r="M12" s="65"/>
    </x:row>
    <x:row r="13">
      <x:c r="A13" s="150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96"/>
      <x:c r="M13" s="65"/>
    </x:row>
    <x:row r="14">
      <x:c r="A14" s="150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96"/>
      <x:c r="M14" s="65"/>
    </x:row>
    <x:row r="15">
      <x:c r="A15" s="150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96"/>
      <x:c r="M15" s="65"/>
    </x:row>
    <x:row r="16">
      <x:c r="A16" s="150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96"/>
      <x:c r="M16" s="65"/>
    </x:row>
    <x:row r="17">
      <x:c r="A17" s="150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96"/>
      <x:c r="M17" s="65"/>
    </x:row>
    <x:row r="18">
      <x:c r="A18" s="150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96"/>
      <x:c r="M18" s="65"/>
    </x:row>
    <x:row r="19">
      <x:c r="A19" s="150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96"/>
      <x:c r="M19" s="65"/>
    </x:row>
    <x:row r="20">
      <x:c r="A20" s="150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96"/>
      <x:c r="M20" s="65"/>
    </x:row>
    <x:row r="21">
      <x:c r="A21" s="150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96"/>
      <x:c r="M21" s="65"/>
    </x:row>
    <x:row r="22">
      <x:c r="A22" s="150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96"/>
      <x:c r="M22" s="65"/>
    </x:row>
    <x:row r="23">
      <x:c r="A23" s="150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96"/>
      <x:c r="M23" s="65"/>
    </x:row>
    <x:row r="24">
      <x:c r="A24" s="150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96"/>
      <x:c r="M24" s="65"/>
    </x:row>
    <x:row r="25">
      <x:c r="A25" s="150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96"/>
      <x:c r="M25" s="65"/>
    </x:row>
    <x:row r="26">
      <x:c r="A26" s="150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96"/>
      <x:c r="M26" s="65"/>
    </x:row>
    <x:row r="27">
      <x:c r="A27" s="150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96"/>
      <x:c r="M27" s="65"/>
    </x:row>
    <x:row r="28">
      <x:c r="A28" s="150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96"/>
      <x:c r="M28" s="65"/>
    </x:row>
    <x:row r="29">
      <x:c r="A29" s="150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96"/>
      <x:c r="M29" s="65"/>
    </x:row>
    <x:row r="30">
      <x:c r="A30" s="150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96"/>
      <x:c r="M30" s="65"/>
    </x:row>
    <x:row r="31">
      <x:c r="A31" s="150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96"/>
      <x:c r="M31" s="65"/>
    </x:row>
    <x:row r="32">
      <x:c r="A32" s="150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96"/>
      <x:c r="M32" s="65"/>
    </x:row>
    <x:row r="33">
      <x:c r="A33" s="150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96"/>
      <x:c r="M33" s="65"/>
    </x:row>
    <x:row r="34">
      <x:c r="A34" s="150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96"/>
      <x:c r="M34" s="65"/>
    </x:row>
    <x:row r="35">
      <x:c r="A35" s="150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96"/>
      <x:c r="M35" s="65"/>
    </x:row>
    <x:row r="36">
      <x:c r="A36" s="150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96"/>
      <x:c r="M36" s="65"/>
    </x:row>
    <x:row r="37">
      <x:c r="A37" s="150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96"/>
      <x:c r="M37" s="65"/>
    </x:row>
    <x:row r="38">
      <x:c r="A38" s="150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96"/>
      <x:c r="M38" s="65"/>
    </x:row>
    <x:row r="39">
      <x:c r="A39" s="150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96"/>
      <x:c r="M39" s="65"/>
    </x:row>
    <x:row r="40">
      <x:c r="A40" s="150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96"/>
      <x:c r="M40" s="65"/>
    </x:row>
    <x:row r="41">
      <x:c r="A41" s="150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96"/>
      <x:c r="M41" s="65"/>
    </x:row>
    <x:row r="42">
      <x:c r="A42" s="150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96"/>
      <x:c r="M42" s="65"/>
    </x:row>
    <x:row r="43">
      <x:c r="A43" s="150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96"/>
      <x:c r="M43" s="65"/>
    </x:row>
    <x:row r="44">
      <x:c r="A44" s="150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96"/>
      <x:c r="M44" s="65"/>
    </x:row>
    <x:row r="45">
      <x:c r="A45" s="150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96"/>
      <x:c r="M45" s="65"/>
    </x:row>
    <x:row r="46">
      <x:c r="A46" s="150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96"/>
      <x:c r="M46" s="65"/>
    </x:row>
    <x:row r="47">
      <x:c r="A47" s="150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96"/>
      <x:c r="M47" s="65"/>
    </x:row>
    <x:row r="48">
      <x:c r="A48" s="150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96"/>
      <x:c r="M48" s="65"/>
    </x:row>
    <x:row r="49">
      <x:c r="A49" s="150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96"/>
      <x:c r="M49" s="65"/>
    </x:row>
    <x:row r="50">
      <x:c r="A50" s="150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96"/>
      <x:c r="M50" s="65"/>
    </x:row>
    <x:row r="51">
      <x:c r="A51" s="150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96"/>
      <x:c r="M51" s="65"/>
    </x:row>
    <x:row r="52">
      <x:c r="A52" s="150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96"/>
      <x:c r="M52" s="65"/>
    </x:row>
    <x:row r="53">
      <x:c r="A53" s="150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96"/>
      <x:c r="M53" s="65"/>
    </x:row>
    <x:row r="54">
      <x:c r="A54" s="150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96"/>
      <x:c r="M54" s="65"/>
    </x:row>
    <x:row r="55">
      <x:c r="A55" s="150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96"/>
      <x:c r="M55" s="65"/>
    </x:row>
    <x:row r="56">
      <x:c r="A56" s="150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96"/>
      <x:c r="M56" s="65"/>
    </x:row>
    <x:row r="57">
      <x:c r="A57" s="150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96"/>
      <x:c r="M57" s="65"/>
    </x:row>
    <x:row r="58">
      <x:c r="A58" s="150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96"/>
      <x:c r="M58" s="65"/>
    </x:row>
    <x:row r="59">
      <x:c r="A59" s="150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96"/>
      <x:c r="M59" s="65"/>
    </x:row>
    <x:row r="60">
      <x:c r="A60" s="150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96"/>
      <x:c r="M60" s="65"/>
    </x:row>
    <x:row r="61">
      <x:c r="A61" s="150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96"/>
      <x:c r="M61" s="65"/>
    </x:row>
    <x:row r="62">
      <x:c r="A62" s="150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96"/>
      <x:c r="M62" s="65"/>
    </x:row>
    <x:row r="63">
      <x:c r="A63" s="150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96"/>
      <x:c r="M63" s="65"/>
    </x:row>
    <x:row r="64">
      <x:c r="A64" s="150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96"/>
      <x:c r="M64" s="65"/>
    </x:row>
    <x:row r="65">
      <x:c r="A65" s="150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96"/>
      <x:c r="M65" s="65"/>
    </x:row>
    <x:row r="66">
      <x:c r="A66" s="150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96"/>
      <x:c r="M66" s="65"/>
    </x:row>
    <x:row r="67">
      <x:c r="A67" s="150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96"/>
      <x:c r="M67" s="65"/>
    </x:row>
    <x:row r="68">
      <x:c r="A68" s="150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96"/>
      <x:c r="M68" s="65"/>
    </x:row>
    <x:row r="69">
      <x:c r="A69" s="150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96"/>
      <x:c r="M69" s="65"/>
    </x:row>
    <x:row r="70">
      <x:c r="A70" s="150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96"/>
      <x:c r="M70" s="65"/>
    </x:row>
    <x:row r="71">
      <x:c r="A71" s="150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96"/>
      <x:c r="M71" s="65"/>
    </x:row>
    <x:row r="72">
      <x:c r="A72" s="150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96"/>
      <x:c r="M72" s="65"/>
    </x:row>
    <x:row r="73">
      <x:c r="A73" s="150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96"/>
      <x:c r="M73" s="65"/>
    </x:row>
    <x:row r="74">
      <x:c r="A74" s="150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96"/>
      <x:c r="M74" s="65"/>
    </x:row>
    <x:row r="75">
      <x:c r="A75" s="150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96"/>
      <x:c r="M75" s="65"/>
    </x:row>
    <x:row r="76">
      <x:c r="A76" s="150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96"/>
      <x:c r="M76" s="65"/>
    </x:row>
    <x:row r="77">
      <x:c r="A77" s="150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96"/>
      <x:c r="M77" s="65"/>
    </x:row>
    <x:row r="78">
      <x:c r="A78" s="150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96"/>
      <x:c r="M78" s="65"/>
    </x:row>
    <x:row r="79">
      <x:c r="A79" s="150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96"/>
      <x:c r="M79" s="65"/>
    </x:row>
    <x:row r="80">
      <x:c r="A80" s="150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96"/>
      <x:c r="M80" s="65"/>
    </x:row>
    <x:row r="81">
      <x:c r="A81" s="150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96"/>
      <x:c r="M81" s="65"/>
    </x:row>
    <x:row r="82">
      <x:c r="A82" s="150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96"/>
      <x:c r="M82" s="65"/>
    </x:row>
    <x:row r="83">
      <x:c r="A83" s="150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96"/>
      <x:c r="M83" s="65"/>
    </x:row>
    <x:row r="84">
      <x:c r="A84" s="150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96"/>
      <x:c r="M84" s="65"/>
    </x:row>
    <x:row r="85">
      <x:c r="A85" s="150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96"/>
      <x:c r="M85" s="65"/>
    </x:row>
    <x:row r="86">
      <x:c r="A86" s="150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96"/>
      <x:c r="M86" s="65"/>
    </x:row>
    <x:row r="87">
      <x:c r="A87" s="150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96"/>
      <x:c r="M87" s="65"/>
    </x:row>
    <x:row r="88">
      <x:c r="A88" s="150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96"/>
      <x:c r="M88" s="65"/>
    </x:row>
    <x:row r="89">
      <x:c r="A89" s="150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96"/>
      <x:c r="M89" s="65"/>
    </x:row>
    <x:row r="90">
      <x:c r="A90" s="150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96"/>
      <x:c r="M90" s="65"/>
    </x:row>
    <x:row r="91">
      <x:c r="A91" s="150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96"/>
      <x:c r="M91" s="65"/>
    </x:row>
    <x:row r="92">
      <x:c r="A92" s="150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96"/>
      <x:c r="M92" s="65"/>
    </x:row>
    <x:row r="93">
      <x:c r="A93" s="150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96"/>
      <x:c r="M93" s="65"/>
    </x:row>
    <x:row r="94">
      <x:c r="A94" s="150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96"/>
      <x:c r="M94" s="65"/>
    </x:row>
    <x:row r="95">
      <x:c r="A95" s="150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96"/>
      <x:c r="M95" s="65"/>
    </x:row>
    <x:row r="96">
      <x:c r="A96" s="150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96"/>
      <x:c r="M96" s="65"/>
    </x:row>
    <x:row r="97">
      <x:c r="A97" s="150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96"/>
      <x:c r="M97" s="65"/>
    </x:row>
    <x:row r="98">
      <x:c r="A98" s="150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96"/>
      <x:c r="M98" s="65"/>
    </x:row>
    <x:row r="99">
      <x:c r="A99" s="150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96"/>
      <x:c r="M99" s="65"/>
    </x:row>
    <x:row r="100">
      <x:c r="A100" s="150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96"/>
      <x:c r="M100" s="65"/>
    </x:row>
    <x:row r="101">
      <x:c r="A101" s="150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96"/>
      <x:c r="M101" s="65"/>
    </x:row>
    <x:row r="102">
      <x:c r="A102" s="150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96"/>
      <x:c r="M102" s="65"/>
    </x:row>
    <x:row r="103">
      <x:c r="A103" s="150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96"/>
      <x:c r="M103" s="65"/>
    </x:row>
    <x:row r="104">
      <x:c r="A104" s="150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96"/>
      <x:c r="M104" s="65"/>
    </x:row>
    <x:row r="105">
      <x:c r="A105" s="150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96"/>
      <x:c r="M105" s="65"/>
    </x:row>
    <x:row r="106">
      <x:c r="A106" s="150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96"/>
      <x:c r="M106" s="65"/>
    </x:row>
    <x:row r="107">
      <x:c r="A107" s="150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96"/>
      <x:c r="M107" s="65"/>
    </x:row>
    <x:row r="108">
      <x:c r="A108" s="150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96"/>
      <x:c r="M108" s="65"/>
    </x:row>
    <x:row r="109">
      <x:c r="A109" s="150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96"/>
      <x:c r="M109" s="65"/>
    </x:row>
    <x:row r="110">
      <x:c r="A110" s="150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96"/>
      <x:c r="M110" s="65"/>
    </x:row>
    <x:row r="111">
      <x:c r="A111" s="150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96"/>
      <x:c r="M111" s="65"/>
    </x:row>
    <x:row r="112">
      <x:c r="A112" s="150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96"/>
      <x:c r="M112" s="65"/>
    </x:row>
    <x:row r="113">
      <x:c r="A113" s="150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96"/>
      <x:c r="M113" s="65"/>
    </x:row>
    <x:row r="114">
      <x:c r="A114" s="150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96"/>
      <x:c r="M114" s="65"/>
    </x:row>
    <x:row r="115">
      <x:c r="A115" s="150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96"/>
      <x:c r="M115" s="65"/>
    </x:row>
    <x:row r="116">
      <x:c r="A116" s="150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96"/>
      <x:c r="M116" s="65"/>
    </x:row>
    <x:row r="117">
      <x:c r="A117" s="150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96"/>
      <x:c r="M117" s="65"/>
    </x:row>
    <x:row r="118">
      <x:c r="A118" s="150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96"/>
      <x:c r="M118" s="65"/>
    </x:row>
    <x:row r="119">
      <x:c r="A119" s="150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96"/>
      <x:c r="M119" s="65"/>
    </x:row>
    <x:row r="120">
      <x:c r="A120" s="150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96"/>
      <x:c r="M120" s="65"/>
    </x:row>
    <x:row r="121">
      <x:c r="A121" s="150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96"/>
      <x:c r="M121" s="65"/>
    </x:row>
    <x:row r="122">
      <x:c r="A122" s="150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96"/>
      <x:c r="M122" s="65"/>
    </x:row>
    <x:row r="123">
      <x:c r="A123" s="150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96"/>
      <x:c r="M123" s="65"/>
    </x:row>
    <x:row r="124">
      <x:c r="A124" s="150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96"/>
      <x:c r="M124" s="65"/>
    </x:row>
    <x:row r="125">
      <x:c r="A125" s="150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96"/>
      <x:c r="M125" s="65"/>
    </x:row>
    <x:row r="126">
      <x:c r="A126" s="150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96"/>
      <x:c r="M126" s="65"/>
    </x:row>
    <x:row r="127">
      <x:c r="A127" s="150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96"/>
      <x:c r="M127" s="65"/>
    </x:row>
    <x:row r="128">
      <x:c r="A128" s="150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96"/>
      <x:c r="M128" s="65"/>
    </x:row>
    <x:row r="129">
      <x:c r="A129" s="150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96"/>
      <x:c r="M129" s="65"/>
    </x:row>
    <x:row r="130">
      <x:c r="A130" s="150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96"/>
      <x:c r="M130" s="65"/>
    </x:row>
    <x:row r="131">
      <x:c r="A131" s="150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96"/>
      <x:c r="M131" s="65"/>
    </x:row>
    <x:row r="132">
      <x:c r="A132" s="150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96"/>
      <x:c r="M132" s="65"/>
    </x:row>
    <x:row r="133">
      <x:c r="A133" s="150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96"/>
      <x:c r="M133" s="65"/>
    </x:row>
    <x:row r="134">
      <x:c r="A134" s="150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96"/>
      <x:c r="M134" s="65"/>
    </x:row>
    <x:row r="135">
      <x:c r="A135" s="150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96"/>
      <x:c r="M135" s="65"/>
    </x:row>
    <x:row r="136">
      <x:c r="A136" s="150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96"/>
      <x:c r="M136" s="65"/>
    </x:row>
    <x:row r="137">
      <x:c r="A137" s="150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96"/>
      <x:c r="M137" s="65"/>
    </x:row>
    <x:row r="138">
      <x:c r="A138" s="150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96"/>
      <x:c r="M138" s="65"/>
    </x:row>
    <x:row r="139">
      <x:c r="A139" s="150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96"/>
      <x:c r="M139" s="65"/>
    </x:row>
    <x:row r="140">
      <x:c r="A140" s="150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96"/>
      <x:c r="M140" s="65"/>
    </x:row>
    <x:row r="141">
      <x:c r="A141" s="150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96"/>
      <x:c r="M141" s="65"/>
    </x:row>
    <x:row r="142">
      <x:c r="A142" s="150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96"/>
      <x:c r="M142" s="65"/>
    </x:row>
    <x:row r="143">
      <x:c r="A143" s="150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96"/>
      <x:c r="M143" s="65"/>
    </x:row>
    <x:row r="144">
      <x:c r="A144" s="150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96"/>
      <x:c r="M144" s="65"/>
    </x:row>
    <x:row r="145">
      <x:c r="A145" s="150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96"/>
      <x:c r="M145" s="65"/>
    </x:row>
    <x:row r="146">
      <x:c r="A146" s="150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96"/>
      <x:c r="M146" s="65"/>
    </x:row>
    <x:row r="147">
      <x:c r="A147" s="150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96"/>
      <x:c r="M147" s="65"/>
    </x:row>
    <x:row r="148">
      <x:c r="A148" s="150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96"/>
      <x:c r="M148" s="65"/>
    </x:row>
    <x:row r="149">
      <x:c r="A149" s="150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96"/>
      <x:c r="M149" s="65"/>
    </x:row>
    <x:row r="150">
      <x:c r="A150" s="150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96"/>
      <x:c r="M150" s="65"/>
    </x:row>
    <x:row r="151">
      <x:c r="A151" s="150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96"/>
      <x:c r="M151" s="65"/>
    </x:row>
    <x:row r="152">
      <x:c r="A152" s="150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96"/>
      <x:c r="M152" s="65"/>
    </x:row>
    <x:row r="153">
      <x:c r="A153" s="150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96"/>
      <x:c r="M153" s="65"/>
    </x:row>
    <x:row r="154">
      <x:c r="A154" s="150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96"/>
      <x:c r="M154" s="65"/>
    </x:row>
    <x:row r="155">
      <x:c r="A155" s="150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96"/>
      <x:c r="M155" s="65"/>
    </x:row>
    <x:row r="156">
      <x:c r="A156" s="150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96"/>
      <x:c r="M156" s="65"/>
    </x:row>
    <x:row r="157">
      <x:c r="A157" s="150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96"/>
      <x:c r="M157" s="65"/>
    </x:row>
    <x:row r="158">
      <x:c r="A158" s="150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96"/>
      <x:c r="M158" s="65"/>
    </x:row>
    <x:row r="159">
      <x:c r="A159" s="150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96"/>
      <x:c r="M159" s="65"/>
    </x:row>
    <x:row r="160">
      <x:c r="A160" s="150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96"/>
      <x:c r="M160" s="65"/>
    </x:row>
    <x:row r="161">
      <x:c r="A161" s="150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96"/>
      <x:c r="M161" s="65"/>
    </x:row>
    <x:row r="162">
      <x:c r="A162" s="150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96"/>
      <x:c r="M162" s="65"/>
    </x:row>
    <x:row r="163">
      <x:c r="A163" s="150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96"/>
      <x:c r="M163" s="65"/>
    </x:row>
    <x:row r="164">
      <x:c r="A164" s="150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96"/>
      <x:c r="M164" s="65"/>
    </x:row>
    <x:row r="165">
      <x:c r="A165" s="150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96"/>
      <x:c r="M165" s="65"/>
    </x:row>
    <x:row r="166">
      <x:c r="A166" s="150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96"/>
      <x:c r="M166" s="65"/>
    </x:row>
    <x:row r="167">
      <x:c r="A167" s="150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96"/>
      <x:c r="M167" s="65"/>
    </x:row>
    <x:row r="168">
      <x:c r="A168" s="150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96"/>
      <x:c r="M168" s="65"/>
    </x:row>
    <x:row r="169">
      <x:c r="A169" s="150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96"/>
      <x:c r="M169" s="65"/>
    </x:row>
    <x:row r="170">
      <x:c r="A170" s="150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96"/>
      <x:c r="M170" s="65"/>
    </x:row>
    <x:row r="171">
      <x:c r="A171" s="150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96"/>
      <x:c r="M171" s="65"/>
    </x:row>
    <x:row r="172">
      <x:c r="A172" s="150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96"/>
      <x:c r="M172" s="65"/>
    </x:row>
    <x:row r="173">
      <x:c r="A173" s="150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96"/>
      <x:c r="M173" s="65"/>
    </x:row>
    <x:row r="174">
      <x:c r="A174" s="150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96"/>
      <x:c r="M174" s="65"/>
    </x:row>
    <x:row r="175">
      <x:c r="A175" s="150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96"/>
      <x:c r="M175" s="65"/>
    </x:row>
    <x:row r="176">
      <x:c r="A176" s="150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96"/>
      <x:c r="M176" s="65"/>
    </x:row>
    <x:row r="177">
      <x:c r="A177" s="150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96"/>
      <x:c r="M177" s="65"/>
    </x:row>
    <x:row r="178">
      <x:c r="A178" s="150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96"/>
      <x:c r="M178" s="65"/>
    </x:row>
    <x:row r="179">
      <x:c r="A179" s="150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96"/>
      <x:c r="M179" s="65"/>
    </x:row>
    <x:row r="180">
      <x:c r="A180" s="150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96"/>
      <x:c r="M180" s="65"/>
    </x:row>
    <x:row r="181">
      <x:c r="A181" s="150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96"/>
      <x:c r="M181" s="65"/>
    </x:row>
    <x:row r="182">
      <x:c r="A182" s="150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96"/>
      <x:c r="M182" s="65"/>
    </x:row>
    <x:row r="183">
      <x:c r="A183" s="150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96"/>
      <x:c r="M183" s="65"/>
    </x:row>
    <x:row r="184">
      <x:c r="A184" s="150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96"/>
      <x:c r="M184" s="65"/>
    </x:row>
    <x:row r="185">
      <x:c r="A185" s="150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96"/>
      <x:c r="M185" s="65"/>
    </x:row>
    <x:row r="186">
      <x:c r="A186" s="150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96"/>
      <x:c r="M186" s="65"/>
    </x:row>
    <x:row r="187">
      <x:c r="A187" s="150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96"/>
      <x:c r="M187" s="65"/>
    </x:row>
    <x:row r="188">
      <x:c r="A188" s="150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96"/>
      <x:c r="M188" s="65"/>
    </x:row>
    <x:row r="189">
      <x:c r="A189" s="150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96"/>
      <x:c r="M189" s="65"/>
    </x:row>
    <x:row r="190">
      <x:c r="A190" s="150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96"/>
      <x:c r="M190" s="65"/>
    </x:row>
    <x:row r="191">
      <x:c r="A191" s="150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96"/>
      <x:c r="M191" s="65"/>
    </x:row>
    <x:row r="192">
      <x:c r="A192" s="150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96"/>
      <x:c r="M192" s="65"/>
    </x:row>
    <x:row r="193">
      <x:c r="A193" s="150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96"/>
      <x:c r="M193" s="65"/>
    </x:row>
    <x:row r="194">
      <x:c r="A194" s="150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96"/>
      <x:c r="M194" s="65"/>
    </x:row>
    <x:row r="195">
      <x:c r="A195" s="150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96"/>
      <x:c r="M195" s="65"/>
    </x:row>
    <x:row r="196">
      <x:c r="A196" s="150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96"/>
      <x:c r="M196" s="65"/>
    </x:row>
    <x:row r="197">
      <x:c r="A197" s="150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96"/>
      <x:c r="M197" s="65"/>
    </x:row>
    <x:row r="198">
      <x:c r="A198" s="150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96"/>
      <x:c r="M198" s="65"/>
    </x:row>
    <x:row r="199">
      <x:c r="A199" s="150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96"/>
      <x:c r="M199" s="65"/>
    </x:row>
    <x:row r="200">
      <x:c r="A200" s="150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96"/>
      <x:c r="M200" s="65"/>
    </x:row>
    <x:row r="201">
      <x:c r="A201" s="150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96"/>
      <x:c r="M201" s="65"/>
    </x:row>
    <x:row r="202">
      <x:c r="A202" s="150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96"/>
      <x:c r="M202" s="65"/>
    </x:row>
    <x:row r="203">
      <x:c r="A203" s="151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97"/>
      <x:c r="M203" s="68"/>
    </x:row>
  </x:sheetData>
  <x:mergeCells>
    <x:mergeCell ref="A1:M1"/>
  </x:mergeCells>
  <x:dataValidations count="2">
    <x:dataValidation type="list" sqref="G4:G203">
      <x:formula1>"Pending,Passed,Rejected,Withdrawn"</x:formula1>
    </x:dataValidation>
    <x:dataValidation type="list" sqref="H4:H2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9da9b074e2453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4" hidden="0" customWidth="1"/>
    <x:col min="4" max="4" width="14" hidden="0" customWidth="1"/>
    <x:col min="5" max="5" width="34" hidden="0" customWidth="1"/>
    <x:col min="6" max="6" width="11" hidden="0" customWidth="1"/>
    <x:col min="7" max="7" width="18" hidden="0" customWidth="1"/>
    <x:col min="8" max="8" width="12" hidden="0" customWidth="1"/>
    <x:col min="9" max="9" width="14" hidden="0" customWidth="1"/>
    <x:col min="10" max="10" width="34" hidden="0" customWidth="1"/>
  </x:cols>
  <x:sheetData>
    <x:row r="1">
      <x:c r="A1" s="135" t="str">
        <x:v>GITHUB PORTFOLIO ROADMAP</x:v>
      </x:c>
      <x:c r="B1" s="135"/>
      <x:c r="C1" s="135"/>
      <x:c r="D1" s="135"/>
      <x:c r="E1" s="135"/>
      <x:c r="F1" s="135"/>
      <x:c r="G1" s="135"/>
      <x:c r="H1" s="135"/>
      <x:c r="I1" s="135"/>
      <x:c r="J1" s="135"/>
    </x:row>
    <x:row r="3">
      <x:c r="A3" s="26" t="str">
        <x:v>Repository</x:v>
      </x:c>
      <x:c r="B3" s="27" t="str">
        <x:v>Purpose</x:v>
      </x:c>
      <x:c r="C3" s="27" t="str">
        <x:v>Modules</x:v>
      </x:c>
      <x:c r="D3" s="27" t="str">
        <x:v>Status</x:v>
      </x:c>
      <x:c r="E3" s="27" t="str">
        <x:v>URL</x:v>
      </x:c>
      <x:c r="F3" s="27" t="str">
        <x:v>README</x:v>
      </x:c>
      <x:c r="G3" s="27" t="str">
        <x:v>Tests / Validation</x:v>
      </x:c>
      <x:c r="H3" s="27" t="str">
        <x:v>Diagram</x:v>
      </x:c>
      <x:c r="I3" s="27" t="str">
        <x:v>Last Update</x:v>
      </x:c>
      <x:c r="J3" s="28" t="str">
        <x:v>Next Improvement</x:v>
      </x:c>
    </x:row>
    <x:row r="4">
      <x:c r="A4" s="60" t="str">
        <x:v>linux-automation-toolkit</x:v>
      </x:c>
      <x:c r="B4" s="61" t="str">
        <x:v>Reusable Linux and Bash operational scripts</x:v>
      </x:c>
      <x:c r="C4" s="61" t="str">
        <x:v>Linux, Bash, Text Processing</x:v>
      </x:c>
      <x:c r="D4" s="61" t="str">
        <x:v>Not Started</x:v>
      </x:c>
      <x:c r="E4" s="61" t="str"/>
      <x:c r="F4" s="61" t="str">
        <x:v>No</x:v>
      </x:c>
      <x:c r="G4" s="61" t="str">
        <x:v>No</x:v>
      </x:c>
      <x:c r="H4" s="61" t="str">
        <x:v>No</x:v>
      </x:c>
      <x:c r="I4" s="95"/>
      <x:c r="J4" s="62" t="str"/>
    </x:row>
    <x:row r="5">
      <x:c r="A5" s="63" t="str">
        <x:v>bash-scripting-challenges</x:v>
      </x:c>
      <x:c r="B5" s="64" t="str">
        <x:v>Interview-style shell and text-processing exercises</x:v>
      </x:c>
      <x:c r="C5" s="64" t="str">
        <x:v>Bash, Text Processing</x:v>
      </x:c>
      <x:c r="D5" s="64" t="str">
        <x:v>Not Started</x:v>
      </x:c>
      <x:c r="E5" s="64" t="str"/>
      <x:c r="F5" s="64" t="str">
        <x:v>No</x:v>
      </x:c>
      <x:c r="G5" s="64" t="str">
        <x:v>No</x:v>
      </x:c>
      <x:c r="H5" s="64" t="str">
        <x:v>No</x:v>
      </x:c>
      <x:c r="I5" s="96"/>
      <x:c r="J5" s="65" t="str"/>
    </x:row>
    <x:row r="6">
      <x:c r="A6" s="63" t="str">
        <x:v>docker-lab</x:v>
      </x:c>
      <x:c r="B6" s="64" t="str">
        <x:v>Production-style containerization and troubleshooting labs</x:v>
      </x:c>
      <x:c r="C6" s="64" t="str">
        <x:v>Docker</x:v>
      </x:c>
      <x:c r="D6" s="64" t="str">
        <x:v>Not Started</x:v>
      </x:c>
      <x:c r="E6" s="64" t="str"/>
      <x:c r="F6" s="64" t="str">
        <x:v>No</x:v>
      </x:c>
      <x:c r="G6" s="64" t="str">
        <x:v>No</x:v>
      </x:c>
      <x:c r="H6" s="64" t="str">
        <x:v>No</x:v>
      </x:c>
      <x:c r="I6" s="96"/>
      <x:c r="J6" s="65" t="str"/>
    </x:row>
    <x:row r="7">
      <x:c r="A7" s="63" t="str">
        <x:v>networking-lab</x:v>
      </x:c>
      <x:c r="B7" s="64" t="str">
        <x:v>Practical DNS, TCP, HTTP, TLS and routing investigations</x:v>
      </x:c>
      <x:c r="C7" s="64" t="str">
        <x:v>Networking</x:v>
      </x:c>
      <x:c r="D7" s="64" t="str">
        <x:v>Not Started</x:v>
      </x:c>
      <x:c r="E7" s="64" t="str"/>
      <x:c r="F7" s="64" t="str">
        <x:v>No</x:v>
      </x:c>
      <x:c r="G7" s="64" t="str">
        <x:v>No</x:v>
      </x:c>
      <x:c r="H7" s="64" t="str">
        <x:v>No</x:v>
      </x:c>
      <x:c r="I7" s="96"/>
      <x:c r="J7" s="65" t="str"/>
    </x:row>
    <x:row r="8">
      <x:c r="A8" s="63" t="str">
        <x:v>kubernetes-lab</x:v>
      </x:c>
      <x:c r="B8" s="64" t="str">
        <x:v>Deployments, networking, storage and failure scenarios</x:v>
      </x:c>
      <x:c r="C8" s="64" t="str">
        <x:v>Kubernetes</x:v>
      </x:c>
      <x:c r="D8" s="64" t="str">
        <x:v>Not Started</x:v>
      </x:c>
      <x:c r="E8" s="64" t="str"/>
      <x:c r="F8" s="64" t="str">
        <x:v>No</x:v>
      </x:c>
      <x:c r="G8" s="64" t="str">
        <x:v>No</x:v>
      </x:c>
      <x:c r="H8" s="64" t="str">
        <x:v>No</x:v>
      </x:c>
      <x:c r="I8" s="96"/>
      <x:c r="J8" s="65" t="str"/>
    </x:row>
    <x:row r="9">
      <x:c r="A9" s="63" t="str">
        <x:v>observability-stack</x:v>
      </x:c>
      <x:c r="B9" s="64" t="str">
        <x:v>Prometheus, Grafana, alerts and dashboards</x:v>
      </x:c>
      <x:c r="C9" s="64" t="str">
        <x:v>Prometheus, Grafana</x:v>
      </x:c>
      <x:c r="D9" s="64" t="str">
        <x:v>Not Started</x:v>
      </x:c>
      <x:c r="E9" s="64" t="str"/>
      <x:c r="F9" s="64" t="str">
        <x:v>No</x:v>
      </x:c>
      <x:c r="G9" s="64" t="str">
        <x:v>No</x:v>
      </x:c>
      <x:c r="H9" s="64" t="str">
        <x:v>No</x:v>
      </x:c>
      <x:c r="I9" s="96"/>
      <x:c r="J9" s="65" t="str"/>
    </x:row>
    <x:row r="10">
      <x:c r="A10" s="63" t="str">
        <x:v>sre-runbooks</x:v>
      </x:c>
      <x:c r="B10" s="64" t="str">
        <x:v>Runbooks, SLOs, incidents and postmortems</x:v>
      </x:c>
      <x:c r="C10" s="64" t="str">
        <x:v>SRE</x:v>
      </x:c>
      <x:c r="D10" s="64" t="str">
        <x:v>Not Started</x:v>
      </x:c>
      <x:c r="E10" s="64" t="str"/>
      <x:c r="F10" s="64" t="str">
        <x:v>No</x:v>
      </x:c>
      <x:c r="G10" s="64" t="str">
        <x:v>No</x:v>
      </x:c>
      <x:c r="H10" s="64" t="str">
        <x:v>No</x:v>
      </x:c>
      <x:c r="I10" s="96"/>
      <x:c r="J10" s="65" t="str"/>
    </x:row>
    <x:row r="11">
      <x:c r="A11" s="63" t="str">
        <x:v>python-infra-tools</x:v>
      </x:c>
      <x:c r="B11" s="64" t="str">
        <x:v>Python CLI tools for infrastructure and monitoring</x:v>
      </x:c>
      <x:c r="C11" s="64" t="str">
        <x:v>Python Automation</x:v>
      </x:c>
      <x:c r="D11" s="64" t="str">
        <x:v>Not Started</x:v>
      </x:c>
      <x:c r="E11" s="64" t="str"/>
      <x:c r="F11" s="64" t="str">
        <x:v>No</x:v>
      </x:c>
      <x:c r="G11" s="64" t="str">
        <x:v>No</x:v>
      </x:c>
      <x:c r="H11" s="64" t="str">
        <x:v>No</x:v>
      </x:c>
      <x:c r="I11" s="96"/>
      <x:c r="J11" s="65" t="str"/>
    </x:row>
    <x:row r="12">
      <x:c r="A12" s="63" t="str">
        <x:v>terraform-lab</x:v>
      </x:c>
      <x:c r="B12" s="64" t="str">
        <x:v>Reusable infrastructure-as-code examples</x:v>
      </x:c>
      <x:c r="C12" s="64" t="str">
        <x:v>Terraform</x:v>
      </x:c>
      <x:c r="D12" s="64" t="str">
        <x:v>Not Started</x:v>
      </x:c>
      <x:c r="E12" s="64" t="str"/>
      <x:c r="F12" s="64" t="str">
        <x:v>No</x:v>
      </x:c>
      <x:c r="G12" s="64" t="str">
        <x:v>No</x:v>
      </x:c>
      <x:c r="H12" s="64" t="str">
        <x:v>No</x:v>
      </x:c>
      <x:c r="I12" s="96"/>
      <x:c r="J12" s="65" t="str"/>
    </x:row>
    <x:row r="13">
      <x:c r="A13" s="66" t="str">
        <x:v>cicd-lab</x:v>
      </x:c>
      <x:c r="B13" s="67" t="str">
        <x:v>GitHub Actions pipelines and deployment automation</x:v>
      </x:c>
      <x:c r="C13" s="67" t="str">
        <x:v>CI-CD</x:v>
      </x:c>
      <x:c r="D13" s="67" t="str">
        <x:v>Not Started</x:v>
      </x:c>
      <x:c r="E13" s="67" t="str"/>
      <x:c r="F13" s="67" t="str">
        <x:v>No</x:v>
      </x:c>
      <x:c r="G13" s="67" t="str">
        <x:v>No</x:v>
      </x:c>
      <x:c r="H13" s="67" t="str">
        <x:v>No</x:v>
      </x:c>
      <x:c r="I13" s="97"/>
      <x:c r="J13" s="68" t="str"/>
    </x:row>
  </x:sheetData>
  <x:mergeCells>
    <x:mergeCell ref="A1:J1"/>
  </x:mergeCells>
  <x:dataValidations count="2">
    <x:dataValidation type="list" sqref="D4:D13">
      <x:formula1>"Not Started,In Progress,Blocked,Done"</x:formula1>
    </x:dataValidation>
    <x:dataValidation type="list" sqref="F4:H13">
      <x:formula1>"No,Partial,Yes"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28" hidden="0" customWidth="1"/>
    <x:col min="8" max="8" width="14" hidden="0" customWidth="1"/>
    <x:col min="9" max="9" width="34" hidden="0" customWidth="1"/>
  </x:cols>
  <x:sheetData>
    <x:row r="1">
      <x:c r="A1" s="135" t="str">
        <x:v>90-DAY SCORECARD</x:v>
      </x:c>
      <x:c r="B1" s="135"/>
      <x:c r="C1" s="135"/>
      <x:c r="D1" s="135"/>
      <x:c r="E1" s="135"/>
      <x:c r="F1" s="135"/>
      <x:c r="G1" s="135"/>
      <x:c r="H1" s="135"/>
      <x:c r="I1" s="135"/>
    </x:row>
    <x:row r="3">
      <x:c r="A3" s="26" t="str">
        <x:v>Metric</x:v>
      </x:c>
      <x:c r="B3" s="27" t="str">
        <x:v>Baseline</x:v>
      </x:c>
      <x:c r="C3" s="27" t="str">
        <x:v>Day 30</x:v>
      </x:c>
      <x:c r="D3" s="27" t="str">
        <x:v>Day 60</x:v>
      </x:c>
      <x:c r="E3" s="27" t="str">
        <x:v>Day 90</x:v>
      </x:c>
      <x:c r="F3" s="27" t="str">
        <x:v>Target</x:v>
      </x:c>
      <x:c r="G3" s="27" t="str">
        <x:v>Evidence</x:v>
      </x:c>
      <x:c r="H3" s="27" t="str">
        <x:v>Result</x:v>
      </x:c>
      <x:c r="I3" s="28" t="str">
        <x:v>Notes</x:v>
      </x:c>
    </x:row>
    <x:row r="4">
      <x:c r="A4" s="51" t="str">
        <x:v>Tasks completed</x:v>
      </x:c>
      <x:c r="B4" s="52" t="n">
        <x:v>0</x:v>
      </x:c>
      <x:c r="C4" s="52" t="str"/>
      <x:c r="D4" s="52" t="str"/>
      <x:c r="E4" s="52" t="str"/>
      <x:c r="F4" s="52" t="n">
        <x:v>60</x:v>
      </x:c>
      <x:c r="G4" s="52" t="str">
        <x:v>Dashboard / module sheets</x:v>
      </x:c>
      <x:c r="H4" s="52" t="str"/>
      <x:c r="I4" s="53" t="str"/>
    </x:row>
    <x:row r="5">
      <x:c r="A5" s="54" t="str">
        <x:v>GitHub portfolio tasks</x:v>
      </x:c>
      <x:c r="B5" s="55" t="n">
        <x:v>0</x:v>
      </x:c>
      <x:c r="C5" s="55" t="str"/>
      <x:c r="D5" s="55" t="str"/>
      <x:c r="E5" s="55" t="str"/>
      <x:c r="F5" s="55" t="n">
        <x:v>12</x:v>
      </x:c>
      <x:c r="G5" s="55" t="str">
        <x:v>GitHub links</x:v>
      </x:c>
      <x:c r="H5" s="55" t="str"/>
      <x:c r="I5" s="56" t="str"/>
    </x:row>
    <x:row r="6">
      <x:c r="A6" s="54" t="str">
        <x:v>Quality applications</x:v>
      </x:c>
      <x:c r="B6" s="55" t="n">
        <x:v>0</x:v>
      </x:c>
      <x:c r="C6" s="55" t="str"/>
      <x:c r="D6" s="55" t="str"/>
      <x:c r="E6" s="55" t="str"/>
      <x:c r="F6" s="55" t="n">
        <x:v>120</x:v>
      </x:c>
      <x:c r="G6" s="55" t="str">
        <x:v>Job Tracker</x:v>
      </x:c>
      <x:c r="H6" s="55" t="str"/>
      <x:c r="I6" s="56" t="str"/>
    </x:row>
    <x:row r="7">
      <x:c r="A7" s="54" t="str">
        <x:v>HR screens</x:v>
      </x:c>
      <x:c r="B7" s="55" t="n">
        <x:v>0</x:v>
      </x:c>
      <x:c r="C7" s="55" t="str"/>
      <x:c r="D7" s="55" t="str"/>
      <x:c r="E7" s="55" t="str"/>
      <x:c r="F7" s="55" t="n">
        <x:v>8</x:v>
      </x:c>
      <x:c r="G7" s="55" t="str">
        <x:v>Interview Tracker</x:v>
      </x:c>
      <x:c r="H7" s="55" t="str"/>
      <x:c r="I7" s="56" t="str"/>
    </x:row>
    <x:row r="8">
      <x:c r="A8" s="54" t="str">
        <x:v>Technical interviews</x:v>
      </x:c>
      <x:c r="B8" s="55" t="n">
        <x:v>0</x:v>
      </x:c>
      <x:c r="C8" s="55" t="str"/>
      <x:c r="D8" s="55" t="str"/>
      <x:c r="E8" s="55" t="str"/>
      <x:c r="F8" s="55" t="n">
        <x:v>4</x:v>
      </x:c>
      <x:c r="G8" s="55" t="str">
        <x:v>Interview Tracker</x:v>
      </x:c>
      <x:c r="H8" s="55" t="str"/>
      <x:c r="I8" s="56" t="str"/>
    </x:row>
    <x:row r="9">
      <x:c r="A9" s="54" t="str">
        <x:v>Offers</x:v>
      </x:c>
      <x:c r="B9" s="55" t="n">
        <x:v>0</x:v>
      </x:c>
      <x:c r="C9" s="55" t="str"/>
      <x:c r="D9" s="55" t="str"/>
      <x:c r="E9" s="55" t="str"/>
      <x:c r="F9" s="55" t="n">
        <x:v>1</x:v>
      </x:c>
      <x:c r="G9" s="55" t="str">
        <x:v>Job Tracker</x:v>
      </x:c>
      <x:c r="H9" s="55" t="str"/>
      <x:c r="I9" s="56" t="str"/>
    </x:row>
    <x:row r="10">
      <x:c r="A10" s="54" t="str">
        <x:v>Linux confidence (1-10)</x:v>
      </x:c>
      <x:c r="B10" s="55" t="n">
        <x:v>5</x:v>
      </x:c>
      <x:c r="C10" s="55" t="str"/>
      <x:c r="D10" s="55" t="str"/>
      <x:c r="E10" s="55" t="str"/>
      <x:c r="F10" s="55" t="n">
        <x:v>8</x:v>
      </x:c>
      <x:c r="G10" s="55" t="str">
        <x:v>Self-assessment</x:v>
      </x:c>
      <x:c r="H10" s="55" t="str"/>
      <x:c r="I10" s="56" t="str"/>
    </x:row>
    <x:row r="11">
      <x:c r="A11" s="54" t="str">
        <x:v>Docker confidence (1-10)</x:v>
      </x:c>
      <x:c r="B11" s="55" t="n">
        <x:v>4</x:v>
      </x:c>
      <x:c r="C11" s="55" t="str"/>
      <x:c r="D11" s="55" t="str"/>
      <x:c r="E11" s="55" t="str"/>
      <x:c r="F11" s="55" t="n">
        <x:v>8</x:v>
      </x:c>
      <x:c r="G11" s="55" t="str">
        <x:v>Self-assessment</x:v>
      </x:c>
      <x:c r="H11" s="55" t="str"/>
      <x:c r="I11" s="56" t="str"/>
    </x:row>
    <x:row r="12">
      <x:c r="A12" s="54" t="str">
        <x:v>Networking confidence (1-10)</x:v>
      </x:c>
      <x:c r="B12" s="55" t="n">
        <x:v>4</x:v>
      </x:c>
      <x:c r="C12" s="55" t="str"/>
      <x:c r="D12" s="55" t="str"/>
      <x:c r="E12" s="55" t="str"/>
      <x:c r="F12" s="55" t="n">
        <x:v>7</x:v>
      </x:c>
      <x:c r="G12" s="55" t="str">
        <x:v>Self-assessment</x:v>
      </x:c>
      <x:c r="H12" s="55" t="str"/>
      <x:c r="I12" s="56" t="str"/>
    </x:row>
    <x:row r="13">
      <x:c r="A13" s="54" t="str">
        <x:v>Kubernetes confidence (1-10)</x:v>
      </x:c>
      <x:c r="B13" s="55" t="n">
        <x:v>6</x:v>
      </x:c>
      <x:c r="C13" s="55" t="str"/>
      <x:c r="D13" s="55" t="str"/>
      <x:c r="E13" s="55" t="str"/>
      <x:c r="F13" s="55" t="n">
        <x:v>8</x:v>
      </x:c>
      <x:c r="G13" s="55" t="str">
        <x:v>Self-assessment</x:v>
      </x:c>
      <x:c r="H13" s="55" t="str"/>
      <x:c r="I13" s="56" t="str"/>
    </x:row>
    <x:row r="14">
      <x:c r="A14" s="54" t="str">
        <x:v>Prometheus confidence (1-10)</x:v>
      </x:c>
      <x:c r="B14" s="55" t="n">
        <x:v>3</x:v>
      </x:c>
      <x:c r="C14" s="55" t="str"/>
      <x:c r="D14" s="55" t="str"/>
      <x:c r="E14" s="55" t="str"/>
      <x:c r="F14" s="55" t="n">
        <x:v>7</x:v>
      </x:c>
      <x:c r="G14" s="55" t="str">
        <x:v>Self-assessment</x:v>
      </x:c>
      <x:c r="H14" s="55" t="str"/>
      <x:c r="I14" s="56" t="str"/>
    </x:row>
    <x:row r="15">
      <x:c r="A15" s="54" t="str">
        <x:v>Grafana confidence (1-10)</x:v>
      </x:c>
      <x:c r="B15" s="55" t="n">
        <x:v>3</x:v>
      </x:c>
      <x:c r="C15" s="55" t="str"/>
      <x:c r="D15" s="55" t="str"/>
      <x:c r="E15" s="55" t="str"/>
      <x:c r="F15" s="55" t="n">
        <x:v>7</x:v>
      </x:c>
      <x:c r="G15" s="55" t="str">
        <x:v>Self-assessment</x:v>
      </x:c>
      <x:c r="H15" s="55" t="str"/>
      <x:c r="I15" s="56" t="str"/>
    </x:row>
    <x:row r="16">
      <x:c r="A16" s="57" t="str">
        <x:v>SRE confidence (1-10)</x:v>
      </x:c>
      <x:c r="B16" s="58" t="n">
        <x:v>4</x:v>
      </x:c>
      <x:c r="C16" s="58" t="str"/>
      <x:c r="D16" s="58" t="str"/>
      <x:c r="E16" s="58" t="str"/>
      <x:c r="F16" s="58" t="n">
        <x:v>8</x:v>
      </x:c>
      <x:c r="G16" s="58" t="str">
        <x:v>Self-assessment</x:v>
      </x:c>
      <x:c r="H16" s="58" t="str"/>
      <x:c r="I16" s="59" t="str"/>
    </x:row>
  </x:sheetData>
  <x:mergeCells>
    <x:mergeCell ref="A1:I1"/>
  </x:mergeCells>
  <x:pageMargins left="0.7" right="0.7" top="0.75" bottom="0.75" header="0.3" footer="0.3"/>
</x:worksheet>
</file>